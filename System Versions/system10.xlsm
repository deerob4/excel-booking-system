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9440" windowHeight="12435" tabRatio="801" activeTab="4"/>
  </bookViews>
  <sheets>
    <sheet name="Halster B+B" sheetId="1" r:id="rId1"/>
    <sheet name="Customer Information" sheetId="6" r:id="rId2"/>
    <sheet name="Bookings Information" sheetId="7" r:id="rId3"/>
    <sheet name="Room Information" sheetId="8" r:id="rId4"/>
    <sheet name="Expenditure" sheetId="9" r:id="rId5"/>
    <sheet name="Invoice" sheetId="10" r:id="rId6"/>
  </sheets>
  <definedNames>
    <definedName name="_xlnm._FilterDatabase" localSheetId="2" hidden="1">'Bookings Information'!$C$4:$L$11</definedName>
    <definedName name="_xlnm._FilterDatabase" localSheetId="1" hidden="1">'Customer Information'!$A$3:$A$11</definedName>
    <definedName name="data" localSheetId="5">Invoice!#REF!</definedName>
  </definedNames>
  <calcPr calcId="145621"/>
</workbook>
</file>

<file path=xl/calcChain.xml><?xml version="1.0" encoding="utf-8"?>
<calcChain xmlns="http://schemas.openxmlformats.org/spreadsheetml/2006/main">
  <c r="U1" i="8" l="1"/>
  <c r="V1" i="8"/>
  <c r="M12" i="9" l="1"/>
  <c r="M13" i="9"/>
  <c r="M14" i="9"/>
  <c r="M15" i="9"/>
  <c r="M16" i="9"/>
  <c r="M17" i="9"/>
  <c r="M18" i="9"/>
  <c r="M19" i="9"/>
  <c r="M20" i="9"/>
  <c r="M21" i="9"/>
  <c r="M22" i="9"/>
  <c r="B25" i="9"/>
  <c r="M11" i="9"/>
  <c r="D5" i="9"/>
  <c r="E15" i="9" s="1"/>
  <c r="F15" i="9" s="1"/>
  <c r="C12" i="9"/>
  <c r="C13" i="9"/>
  <c r="C14" i="9"/>
  <c r="C15" i="9"/>
  <c r="C16" i="9"/>
  <c r="C17" i="9"/>
  <c r="C18" i="9"/>
  <c r="C19" i="9"/>
  <c r="C20" i="9"/>
  <c r="C21" i="9"/>
  <c r="C22" i="9"/>
  <c r="C11" i="9"/>
  <c r="M24" i="9" l="1"/>
  <c r="E22" i="9"/>
  <c r="F22" i="9" s="1"/>
  <c r="E18" i="9"/>
  <c r="F18" i="9" s="1"/>
  <c r="E14" i="9"/>
  <c r="F14" i="9" s="1"/>
  <c r="E21" i="9"/>
  <c r="F21" i="9" s="1"/>
  <c r="E17" i="9"/>
  <c r="F17" i="9" s="1"/>
  <c r="E13" i="9"/>
  <c r="F13" i="9" s="1"/>
  <c r="E20" i="9"/>
  <c r="F20" i="9" s="1"/>
  <c r="E16" i="9"/>
  <c r="F16" i="9" s="1"/>
  <c r="E12" i="9"/>
  <c r="F12" i="9" s="1"/>
  <c r="E11" i="9"/>
  <c r="F11" i="9" s="1"/>
  <c r="E19" i="9"/>
  <c r="F19" i="9" s="1"/>
  <c r="D12" i="9"/>
  <c r="D13" i="9"/>
  <c r="D14" i="9"/>
  <c r="D15" i="9"/>
  <c r="D16" i="9"/>
  <c r="D17" i="9"/>
  <c r="D18" i="9"/>
  <c r="D19" i="9"/>
  <c r="D20" i="9"/>
  <c r="D21" i="9"/>
  <c r="D22" i="9"/>
  <c r="D11" i="9"/>
  <c r="Y5" i="7" l="1"/>
  <c r="H5" i="9" l="1"/>
  <c r="W5" i="7"/>
  <c r="H6" i="9" l="1"/>
  <c r="B28" i="9" s="1"/>
  <c r="I14" i="9"/>
  <c r="J14" i="9" s="1"/>
  <c r="I18" i="9"/>
  <c r="J18" i="9" s="1"/>
  <c r="I22" i="9"/>
  <c r="J22" i="9" s="1"/>
  <c r="I13" i="9"/>
  <c r="J13" i="9" s="1"/>
  <c r="I17" i="9"/>
  <c r="J17" i="9" s="1"/>
  <c r="I21" i="9"/>
  <c r="J21" i="9" s="1"/>
  <c r="I15" i="9"/>
  <c r="J15" i="9" s="1"/>
  <c r="I19" i="9"/>
  <c r="J19" i="9" s="1"/>
  <c r="I11" i="9"/>
  <c r="J11" i="9" s="1"/>
  <c r="I12" i="9"/>
  <c r="J12" i="9" s="1"/>
  <c r="I16" i="9"/>
  <c r="J16" i="9" s="1"/>
  <c r="I20" i="9"/>
  <c r="J20" i="9" s="1"/>
  <c r="F9" i="7"/>
  <c r="F5" i="9" l="1"/>
  <c r="K2" i="10"/>
  <c r="F6" i="9" l="1"/>
  <c r="B27" i="9" s="1"/>
  <c r="G13" i="9"/>
  <c r="H13" i="9" s="1"/>
  <c r="K13" i="9" s="1"/>
  <c r="G17" i="9"/>
  <c r="H17" i="9" s="1"/>
  <c r="K17" i="9" s="1"/>
  <c r="G21" i="9"/>
  <c r="H21" i="9" s="1"/>
  <c r="K21" i="9" s="1"/>
  <c r="G14" i="9"/>
  <c r="H14" i="9" s="1"/>
  <c r="K14" i="9" s="1"/>
  <c r="G18" i="9"/>
  <c r="H18" i="9" s="1"/>
  <c r="K18" i="9" s="1"/>
  <c r="G22" i="9"/>
  <c r="H22" i="9" s="1"/>
  <c r="K22" i="9" s="1"/>
  <c r="G15" i="9"/>
  <c r="H15" i="9" s="1"/>
  <c r="K15" i="9" s="1"/>
  <c r="G19" i="9"/>
  <c r="H19" i="9" s="1"/>
  <c r="K19" i="9" s="1"/>
  <c r="G11" i="9"/>
  <c r="H11" i="9" s="1"/>
  <c r="K11" i="9" s="1"/>
  <c r="G12" i="9"/>
  <c r="H12" i="9" s="1"/>
  <c r="K12" i="9" s="1"/>
  <c r="G16" i="9"/>
  <c r="H16" i="9" s="1"/>
  <c r="K16" i="9" s="1"/>
  <c r="G20" i="9"/>
  <c r="H20" i="9" s="1"/>
  <c r="K20" i="9" s="1"/>
  <c r="D6" i="9"/>
  <c r="B26" i="9" s="1"/>
  <c r="B30" i="9" l="1"/>
  <c r="B32" i="9" s="1"/>
  <c r="W6" i="7"/>
  <c r="W7" i="7"/>
  <c r="R5" i="10" s="1"/>
  <c r="W8" i="7"/>
  <c r="R6" i="10" s="1"/>
  <c r="W9" i="7"/>
  <c r="W10" i="7"/>
  <c r="R8" i="10" s="1"/>
  <c r="W11" i="7"/>
  <c r="R9" i="10" s="1"/>
  <c r="W4" i="7"/>
  <c r="R4" i="10" l="1"/>
  <c r="R7" i="10"/>
  <c r="R2" i="10"/>
  <c r="R3" i="10"/>
  <c r="T3" i="10"/>
  <c r="T4" i="10"/>
  <c r="T5" i="10"/>
  <c r="T6" i="10"/>
  <c r="T7" i="10"/>
  <c r="T8" i="10"/>
  <c r="T9" i="10"/>
  <c r="N3" i="7" l="1"/>
  <c r="O3" i="7"/>
  <c r="AA11" i="7"/>
  <c r="AA4" i="7"/>
  <c r="AA5" i="7"/>
  <c r="AA6" i="7"/>
  <c r="AA7" i="7"/>
  <c r="AA8" i="7"/>
  <c r="AA9" i="7"/>
  <c r="AA10" i="7"/>
  <c r="U5" i="7"/>
  <c r="U6" i="7"/>
  <c r="U7" i="7"/>
  <c r="U8" i="7"/>
  <c r="U9" i="7"/>
  <c r="U10" i="7"/>
  <c r="U11" i="7"/>
  <c r="U4" i="7"/>
  <c r="R5" i="7"/>
  <c r="R6" i="7"/>
  <c r="R7" i="7"/>
  <c r="R8" i="7"/>
  <c r="R9" i="7"/>
  <c r="R10" i="7"/>
  <c r="S22" i="7" l="1"/>
  <c r="M3" i="10"/>
  <c r="M4" i="10"/>
  <c r="M5" i="10"/>
  <c r="M6" i="10"/>
  <c r="M7" i="10"/>
  <c r="M8" i="10"/>
  <c r="M9" i="10"/>
  <c r="M2" i="10"/>
  <c r="P4" i="10"/>
  <c r="P5" i="10"/>
  <c r="P6" i="10"/>
  <c r="P7" i="10"/>
  <c r="P8" i="10"/>
  <c r="P9" i="10"/>
  <c r="P2" i="10"/>
  <c r="AC5" i="7"/>
  <c r="AC6" i="7"/>
  <c r="AC7" i="7"/>
  <c r="AC8" i="7"/>
  <c r="AC9" i="7"/>
  <c r="Q7" i="10" s="1"/>
  <c r="AC10" i="7"/>
  <c r="Q4" i="10" s="1"/>
  <c r="AC11" i="7"/>
  <c r="AC4" i="7"/>
  <c r="Q2" i="10" s="1"/>
  <c r="P3" i="10"/>
  <c r="Y6" i="7"/>
  <c r="Y7" i="7"/>
  <c r="Y8" i="7"/>
  <c r="O6" i="10" s="1"/>
  <c r="Y9" i="7"/>
  <c r="O7" i="10" s="1"/>
  <c r="Y10" i="7"/>
  <c r="O8" i="10" s="1"/>
  <c r="Y11" i="7"/>
  <c r="Y4" i="7"/>
  <c r="O2" i="10" s="1"/>
  <c r="O4" i="10" l="1"/>
  <c r="Q3" i="10"/>
  <c r="Q6" i="10"/>
  <c r="O3" i="10"/>
  <c r="Q8" i="10"/>
  <c r="O9" i="10"/>
  <c r="Q9" i="10"/>
  <c r="Q5" i="10"/>
  <c r="O5" i="10"/>
  <c r="T2" i="10"/>
  <c r="L3" i="10" l="1"/>
  <c r="L4" i="10"/>
  <c r="L5" i="10"/>
  <c r="L6" i="10"/>
  <c r="L7" i="10"/>
  <c r="L8" i="10"/>
  <c r="L9" i="10"/>
  <c r="L2" i="10"/>
  <c r="K1" i="10"/>
  <c r="K3" i="10"/>
  <c r="K4" i="10"/>
  <c r="K5" i="10"/>
  <c r="K6" i="10"/>
  <c r="K7" i="10"/>
  <c r="K8" i="10"/>
  <c r="K9" i="10"/>
  <c r="J2" i="10"/>
  <c r="J3" i="10"/>
  <c r="J4" i="10"/>
  <c r="J5" i="10"/>
  <c r="J6" i="10"/>
  <c r="J7" i="10"/>
  <c r="J8" i="10"/>
  <c r="J9" i="10"/>
  <c r="J1" i="10"/>
  <c r="H1" i="10"/>
  <c r="F1" i="10"/>
  <c r="G1" i="10"/>
  <c r="I1" i="10"/>
  <c r="E1" i="10"/>
  <c r="D1" i="10"/>
  <c r="C1" i="10"/>
  <c r="B1" i="10"/>
  <c r="A2" i="10"/>
  <c r="A3" i="10"/>
  <c r="A4" i="10"/>
  <c r="A5" i="10"/>
  <c r="A6" i="10"/>
  <c r="A7" i="10"/>
  <c r="A8" i="10"/>
  <c r="A9" i="10"/>
  <c r="A1" i="10"/>
  <c r="R11" i="7" l="1"/>
  <c r="Q4" i="7"/>
  <c r="R4" i="7" s="1"/>
  <c r="N11" i="7" l="1"/>
  <c r="N5" i="7"/>
  <c r="N6" i="7"/>
  <c r="N7" i="7"/>
  <c r="N8" i="7"/>
  <c r="N9" i="7"/>
  <c r="N10" i="7"/>
  <c r="N4" i="7"/>
  <c r="P5" i="7"/>
  <c r="P6" i="7"/>
  <c r="P7" i="7"/>
  <c r="P8" i="7"/>
  <c r="P9" i="7"/>
  <c r="P10" i="7"/>
  <c r="P11" i="7"/>
  <c r="P4" i="7"/>
  <c r="O5" i="7"/>
  <c r="AD5" i="7" s="1"/>
  <c r="AE5" i="7" s="1"/>
  <c r="S3" i="10" s="1"/>
  <c r="O6" i="7"/>
  <c r="AD6" i="7" s="1"/>
  <c r="AE6" i="7" s="1"/>
  <c r="O7" i="7"/>
  <c r="AD7" i="7" s="1"/>
  <c r="AE7" i="7" s="1"/>
  <c r="O8" i="7"/>
  <c r="AD8" i="7" s="1"/>
  <c r="AE8" i="7" s="1"/>
  <c r="O9" i="7"/>
  <c r="AD9" i="7" s="1"/>
  <c r="AE9" i="7" s="1"/>
  <c r="S7" i="10" s="1"/>
  <c r="O10" i="7"/>
  <c r="AD10" i="7" s="1"/>
  <c r="AE10" i="7" s="1"/>
  <c r="O11" i="7"/>
  <c r="AD11" i="7" s="1"/>
  <c r="AE11" i="7" s="1"/>
  <c r="O4" i="7"/>
  <c r="AD4" i="7" s="1"/>
  <c r="AE4" i="7" s="1"/>
  <c r="S2" i="10" s="1"/>
  <c r="L5" i="7"/>
  <c r="I3" i="10" s="1"/>
  <c r="L9" i="7"/>
  <c r="L6" i="7"/>
  <c r="L10" i="7"/>
  <c r="L7" i="7"/>
  <c r="L11" i="7"/>
  <c r="L8" i="7"/>
  <c r="L4" i="7"/>
  <c r="I2" i="10" s="1"/>
  <c r="K5" i="7"/>
  <c r="H3" i="10" s="1"/>
  <c r="K9" i="7"/>
  <c r="K6" i="7"/>
  <c r="K10" i="7"/>
  <c r="K7" i="7"/>
  <c r="K11" i="7"/>
  <c r="K8" i="7"/>
  <c r="K4" i="7"/>
  <c r="H2" i="10" s="1"/>
  <c r="J5" i="7"/>
  <c r="G3" i="10" s="1"/>
  <c r="J9" i="7"/>
  <c r="J6" i="7"/>
  <c r="J10" i="7"/>
  <c r="J7" i="7"/>
  <c r="J11" i="7"/>
  <c r="J8" i="7"/>
  <c r="J4" i="7"/>
  <c r="G2" i="10" s="1"/>
  <c r="I5" i="7"/>
  <c r="F3" i="10" s="1"/>
  <c r="I9" i="7"/>
  <c r="I6" i="7"/>
  <c r="I10" i="7"/>
  <c r="I7" i="7"/>
  <c r="I11" i="7"/>
  <c r="I8" i="7"/>
  <c r="I4" i="7"/>
  <c r="F2" i="10" s="1"/>
  <c r="H5" i="7"/>
  <c r="E3" i="10" s="1"/>
  <c r="H9" i="7"/>
  <c r="H6" i="7"/>
  <c r="H10" i="7"/>
  <c r="H7" i="7"/>
  <c r="H11" i="7"/>
  <c r="H8" i="7"/>
  <c r="H4" i="7"/>
  <c r="E2" i="10" s="1"/>
  <c r="G5" i="7"/>
  <c r="G9" i="7"/>
  <c r="G6" i="7"/>
  <c r="G10" i="7"/>
  <c r="G7" i="7"/>
  <c r="G11" i="7"/>
  <c r="G8" i="7"/>
  <c r="G4" i="7"/>
  <c r="F5" i="7"/>
  <c r="F6" i="7"/>
  <c r="F10" i="7"/>
  <c r="F7" i="7"/>
  <c r="F11" i="7"/>
  <c r="F8" i="7"/>
  <c r="F4" i="7"/>
  <c r="E5" i="7"/>
  <c r="E9" i="7"/>
  <c r="E6" i="7"/>
  <c r="E10" i="7"/>
  <c r="E7" i="7"/>
  <c r="E11" i="7"/>
  <c r="E8" i="7"/>
  <c r="E4" i="7"/>
  <c r="D2" i="10" s="1"/>
  <c r="D5" i="7"/>
  <c r="D9" i="7"/>
  <c r="D6" i="7"/>
  <c r="D10" i="7"/>
  <c r="D7" i="7"/>
  <c r="D11" i="7"/>
  <c r="D8" i="7"/>
  <c r="D4" i="7"/>
  <c r="C2" i="10" s="1"/>
  <c r="C4" i="7"/>
  <c r="C5" i="7"/>
  <c r="C9" i="7"/>
  <c r="C6" i="7"/>
  <c r="C10" i="7"/>
  <c r="C7" i="7"/>
  <c r="C11" i="7"/>
  <c r="C8" i="7"/>
  <c r="AE12" i="7" l="1"/>
  <c r="C7" i="10"/>
  <c r="D7" i="10"/>
  <c r="C8" i="10"/>
  <c r="D8" i="10"/>
  <c r="E7" i="10"/>
  <c r="F7" i="10"/>
  <c r="G7" i="10"/>
  <c r="H7" i="10"/>
  <c r="I7" i="10"/>
  <c r="C4" i="10"/>
  <c r="D4" i="10"/>
  <c r="C3" i="10"/>
  <c r="D3" i="10"/>
  <c r="E6" i="10"/>
  <c r="F6" i="10"/>
  <c r="G6" i="10"/>
  <c r="H6" i="10"/>
  <c r="I6" i="10"/>
  <c r="S6" i="10"/>
  <c r="C6" i="10"/>
  <c r="D6" i="10"/>
  <c r="E9" i="10"/>
  <c r="E5" i="10"/>
  <c r="F9" i="10"/>
  <c r="F5" i="10"/>
  <c r="G9" i="10"/>
  <c r="G5" i="10"/>
  <c r="H9" i="10"/>
  <c r="H5" i="10"/>
  <c r="I9" i="10"/>
  <c r="I5" i="10"/>
  <c r="S9" i="10"/>
  <c r="S5" i="10"/>
  <c r="C9" i="10"/>
  <c r="C5" i="10"/>
  <c r="D9" i="10"/>
  <c r="D5" i="10"/>
  <c r="E8" i="10"/>
  <c r="E4" i="10"/>
  <c r="F8" i="10"/>
  <c r="F4" i="10"/>
  <c r="G8" i="10"/>
  <c r="G4" i="10"/>
  <c r="H8" i="10"/>
  <c r="H4" i="10"/>
  <c r="I8" i="10"/>
  <c r="I4" i="10"/>
  <c r="S8" i="10"/>
  <c r="S4" i="10"/>
  <c r="B9" i="10"/>
  <c r="N9" i="10"/>
  <c r="B5" i="10"/>
  <c r="N5" i="10"/>
  <c r="B8" i="10"/>
  <c r="N8" i="10"/>
  <c r="B4" i="10"/>
  <c r="N4" i="10"/>
  <c r="B7" i="10"/>
  <c r="N7" i="10"/>
  <c r="B3" i="10"/>
  <c r="N3" i="10"/>
  <c r="B6" i="10"/>
  <c r="N6" i="10"/>
  <c r="B2" i="10"/>
  <c r="N2" i="10"/>
  <c r="P3" i="7"/>
  <c r="M3" i="7"/>
</calcChain>
</file>

<file path=xl/comments1.xml><?xml version="1.0" encoding="utf-8"?>
<comments xmlns="http://schemas.openxmlformats.org/spreadsheetml/2006/main">
  <authors>
    <author>Dee Roberts</author>
  </authors>
  <commentList>
    <comment ref="B3" authorId="0">
      <text>
        <r>
          <rPr>
            <b/>
            <sz val="9"/>
            <color indexed="81"/>
            <rFont val="Tahoma"/>
            <family val="2"/>
          </rPr>
          <t>Dee Roberts:</t>
        </r>
        <r>
          <rPr>
            <sz val="9"/>
            <color indexed="81"/>
            <rFont val="Tahoma"/>
            <family val="2"/>
          </rPr>
          <t xml:space="preserve">
Change the Customer ID to automatically change all the other columns.</t>
        </r>
      </text>
    </comment>
  </commentList>
</comments>
</file>

<file path=xl/comments2.xml><?xml version="1.0" encoding="utf-8"?>
<comments xmlns="http://schemas.openxmlformats.org/spreadsheetml/2006/main">
  <authors>
    <author>Dee Roberts</author>
  </authors>
  <commentList>
    <comment ref="D3" authorId="0">
      <text>
        <r>
          <rPr>
            <b/>
            <sz val="9"/>
            <color indexed="81"/>
            <rFont val="Tahoma"/>
            <family val="2"/>
          </rPr>
          <t>Dee Roberts:</t>
        </r>
        <r>
          <rPr>
            <sz val="9"/>
            <color indexed="81"/>
            <rFont val="Tahoma"/>
            <family val="2"/>
          </rPr>
          <t xml:space="preserve">
This will directly affect other factors.
</t>
        </r>
      </text>
    </comment>
  </commentList>
</comments>
</file>

<file path=xl/comments3.xml><?xml version="1.0" encoding="utf-8"?>
<comments xmlns="http://schemas.openxmlformats.org/spreadsheetml/2006/main">
  <authors>
    <author>The Priory School</author>
  </authors>
  <commentList>
    <comment ref="A24" authorId="0">
      <text>
        <r>
          <rPr>
            <b/>
            <sz val="9"/>
            <color indexed="81"/>
            <rFont val="Tahoma"/>
            <charset val="1"/>
          </rPr>
          <t>Dee Roberts:</t>
        </r>
        <r>
          <rPr>
            <sz val="9"/>
            <color indexed="81"/>
            <rFont val="Tahoma"/>
            <charset val="1"/>
          </rPr>
          <t xml:space="preserve">
To use the profit calculator, use goal seek to select the profit cell, also choosing the cells you want to change. 
The system will do the rest for you, telling you exactly what you have to set your prices to!</t>
        </r>
      </text>
    </comment>
  </commentList>
</comments>
</file>

<file path=xl/connections.xml><?xml version="1.0" encoding="utf-8"?>
<connections xmlns="http://schemas.openxmlformats.org/spreadsheetml/2006/main">
  <connection id="1" name="data" type="6" refreshedVersion="4" background="1">
    <textPr codePage="932" sourceFile="U:\ICT\Year 10 Core ICT\CA_Dee_Roberts\Booking System\data.txt">
      <textFields>
        <textField/>
      </textFields>
    </textPr>
  </connection>
</connections>
</file>

<file path=xl/sharedStrings.xml><?xml version="1.0" encoding="utf-8"?>
<sst xmlns="http://schemas.openxmlformats.org/spreadsheetml/2006/main" count="272" uniqueCount="168">
  <si>
    <t>Customer ID</t>
  </si>
  <si>
    <t>Title</t>
  </si>
  <si>
    <t>First Name</t>
  </si>
  <si>
    <t>Second Name</t>
  </si>
  <si>
    <t>Address Line 1</t>
  </si>
  <si>
    <t>Address Line 2</t>
  </si>
  <si>
    <t>Address Line 3</t>
  </si>
  <si>
    <t>Address Line 4</t>
  </si>
  <si>
    <t>Address Line 5</t>
  </si>
  <si>
    <t>CUST_001</t>
  </si>
  <si>
    <t>CUST_002</t>
  </si>
  <si>
    <t>CUST_003</t>
  </si>
  <si>
    <t>CUST_004</t>
  </si>
  <si>
    <t>CUST_005</t>
  </si>
  <si>
    <t>CUST_006</t>
  </si>
  <si>
    <t>CUST_007</t>
  </si>
  <si>
    <t>CUST_008</t>
  </si>
  <si>
    <t>Ms</t>
  </si>
  <si>
    <t>Samantha</t>
  </si>
  <si>
    <t>85 Afghan Lane</t>
  </si>
  <si>
    <t>London</t>
  </si>
  <si>
    <t>Westminster</t>
  </si>
  <si>
    <t>England</t>
  </si>
  <si>
    <t>SY7 8EE</t>
  </si>
  <si>
    <t>Mrs</t>
  </si>
  <si>
    <t>Jebb</t>
  </si>
  <si>
    <t>Paulina</t>
  </si>
  <si>
    <t>97 Salmon Street</t>
  </si>
  <si>
    <t>Cheshire</t>
  </si>
  <si>
    <t>Ingoo Plaza</t>
  </si>
  <si>
    <t>Doctor</t>
  </si>
  <si>
    <t>Paul</t>
  </si>
  <si>
    <t>Jacobs</t>
  </si>
  <si>
    <t>32 Chip Avenue</t>
  </si>
  <si>
    <t>Birmingham</t>
  </si>
  <si>
    <t>The Bullring</t>
  </si>
  <si>
    <t>Lord</t>
  </si>
  <si>
    <t>Alan</t>
  </si>
  <si>
    <t>Sugar</t>
  </si>
  <si>
    <t>12 Youview Lane</t>
  </si>
  <si>
    <t>Hampshire</t>
  </si>
  <si>
    <t>Email Address</t>
  </si>
  <si>
    <t>Contact Number</t>
  </si>
  <si>
    <t>iraq@gov.com</t>
  </si>
  <si>
    <t>87864 345678</t>
  </si>
  <si>
    <t>87864 345679</t>
  </si>
  <si>
    <t>87864 345680</t>
  </si>
  <si>
    <t>87864 345681</t>
  </si>
  <si>
    <t>87864 345682</t>
  </si>
  <si>
    <t>87864 345683</t>
  </si>
  <si>
    <t>87864 345684</t>
  </si>
  <si>
    <t>87864 345685</t>
  </si>
  <si>
    <t>Tony</t>
  </si>
  <si>
    <t>Blair</t>
  </si>
  <si>
    <t>Hampshire Row</t>
  </si>
  <si>
    <t>foodie@gmail.com</t>
  </si>
  <si>
    <t xml:space="preserve"> Train Station</t>
  </si>
  <si>
    <t>Reading</t>
  </si>
  <si>
    <t>Room ID</t>
  </si>
  <si>
    <t>RM_01</t>
  </si>
  <si>
    <t>RM_02</t>
  </si>
  <si>
    <t>RM_03</t>
  </si>
  <si>
    <t>RM_04</t>
  </si>
  <si>
    <t>RM_05</t>
  </si>
  <si>
    <t>RM_06</t>
  </si>
  <si>
    <t>RM_07</t>
  </si>
  <si>
    <t>RM_08</t>
  </si>
  <si>
    <t>Room Type</t>
  </si>
  <si>
    <t>Double</t>
  </si>
  <si>
    <t>Twin</t>
  </si>
  <si>
    <t>Room Price</t>
  </si>
  <si>
    <t>Room Availability</t>
  </si>
  <si>
    <t>Booking ID</t>
  </si>
  <si>
    <t>Arrival Date</t>
  </si>
  <si>
    <t>Departure Date</t>
  </si>
  <si>
    <t>Number of Nights</t>
  </si>
  <si>
    <t>Booking Date</t>
  </si>
  <si>
    <t>Days until arrival</t>
  </si>
  <si>
    <t>Cleaning Services</t>
  </si>
  <si>
    <t>Internet Access</t>
  </si>
  <si>
    <t>Telephone Access</t>
  </si>
  <si>
    <t>Full Service</t>
  </si>
  <si>
    <t>Room Only</t>
  </si>
  <si>
    <t>Clothes Only</t>
  </si>
  <si>
    <t>Total Price</t>
  </si>
  <si>
    <t>Mornings</t>
  </si>
  <si>
    <t>All hours</t>
  </si>
  <si>
    <t>Afternoons</t>
  </si>
  <si>
    <t>Full Name</t>
  </si>
  <si>
    <t xml:space="preserve">Cleaning </t>
  </si>
  <si>
    <t>Cleaning Charge</t>
  </si>
  <si>
    <t>Internet</t>
  </si>
  <si>
    <t>Phone</t>
  </si>
  <si>
    <t>Date</t>
  </si>
  <si>
    <t>BOOK_001</t>
  </si>
  <si>
    <t>BOOK_002</t>
  </si>
  <si>
    <t>BOOK_003</t>
  </si>
  <si>
    <t>BOOK_004</t>
  </si>
  <si>
    <t>BOOK_005</t>
  </si>
  <si>
    <t>BOOK_006</t>
  </si>
  <si>
    <t>BOOK_007</t>
  </si>
  <si>
    <t>BOOK_008</t>
  </si>
  <si>
    <t>Internet Charge</t>
  </si>
  <si>
    <t>Telephone Charge</t>
  </si>
  <si>
    <t>10 Minutes</t>
  </si>
  <si>
    <t>20 Minutes</t>
  </si>
  <si>
    <t>Available</t>
  </si>
  <si>
    <t>Not available</t>
  </si>
  <si>
    <t>Evenings</t>
  </si>
  <si>
    <t>All Day</t>
  </si>
  <si>
    <t>Total Cost</t>
  </si>
  <si>
    <t>Total Room Cost</t>
  </si>
  <si>
    <t>Cleaners</t>
  </si>
  <si>
    <t>Number of Cleaners</t>
  </si>
  <si>
    <t>Current Minimum Wage</t>
  </si>
  <si>
    <t>Hours Per Week</t>
  </si>
  <si>
    <t>Daily Cost</t>
  </si>
  <si>
    <t>Food Services</t>
  </si>
  <si>
    <t>Lunch</t>
  </si>
  <si>
    <t>Breakfast</t>
  </si>
  <si>
    <t>Evening</t>
  </si>
  <si>
    <t>Food Charge</t>
  </si>
  <si>
    <t>No Meals</t>
  </si>
  <si>
    <t>Food</t>
  </si>
  <si>
    <t>Breakfast Cost</t>
  </si>
  <si>
    <t>Lunch Cost</t>
  </si>
  <si>
    <t>Breakfast Customers</t>
  </si>
  <si>
    <t>Lunch Customers</t>
  </si>
  <si>
    <t>Individual Cost</t>
  </si>
  <si>
    <t>Evening Meal Cost</t>
  </si>
  <si>
    <t>Evening Customers</t>
  </si>
  <si>
    <t>January</t>
  </si>
  <si>
    <t>February</t>
  </si>
  <si>
    <t>March</t>
  </si>
  <si>
    <t>April</t>
  </si>
  <si>
    <t>May</t>
  </si>
  <si>
    <t>June</t>
  </si>
  <si>
    <t>July</t>
  </si>
  <si>
    <t>August</t>
  </si>
  <si>
    <t>September</t>
  </si>
  <si>
    <t>October</t>
  </si>
  <si>
    <t>November</t>
  </si>
  <si>
    <t>December</t>
  </si>
  <si>
    <t>Months</t>
  </si>
  <si>
    <t>Days in month</t>
  </si>
  <si>
    <t>Monthly cost of cleaners</t>
  </si>
  <si>
    <t>Weekly cost of cleaners</t>
  </si>
  <si>
    <t>Number of breakfasts served</t>
  </si>
  <si>
    <t>Monthly cost of breakfasts</t>
  </si>
  <si>
    <t>Number of lunches served</t>
  </si>
  <si>
    <t>Monthly cost of lunches</t>
  </si>
  <si>
    <t>Monthly cost of evening meals</t>
  </si>
  <si>
    <t>Number of evening meals served</t>
  </si>
  <si>
    <t>Total monthly cost</t>
  </si>
  <si>
    <t>Monthly Expenditure</t>
  </si>
  <si>
    <t>Monthly income</t>
  </si>
  <si>
    <t>Number of rooms booked</t>
  </si>
  <si>
    <t>Total monthly income</t>
  </si>
  <si>
    <t>Cleaning cost per room</t>
  </si>
  <si>
    <t>Breakfast costs per room</t>
  </si>
  <si>
    <t>Overhead costs</t>
  </si>
  <si>
    <t>Total costs</t>
  </si>
  <si>
    <t>Price per room</t>
  </si>
  <si>
    <t>Profit</t>
  </si>
  <si>
    <t>Profit Calculator</t>
  </si>
  <si>
    <t>Lunch costs per room</t>
  </si>
  <si>
    <t>Evening meal cost per room</t>
  </si>
  <si>
    <t>Not Available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</si>
</sst>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164" formatCode="&quot;£&quot;#,##0.00"/>
  </numFmts>
  <fonts count="11" x14ac:knownFonts="1">
    <font>
      <sz val="11"/>
      <color theme="1"/>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11"/>
      <color theme="0"/>
      <name val="Calibri"/>
      <family val="2"/>
      <scheme val="minor"/>
    </font>
    <font>
      <sz val="10"/>
      <color rgb="FF000080"/>
      <name val="Verdana"/>
      <family val="2"/>
    </font>
    <font>
      <sz val="9"/>
      <color indexed="81"/>
      <name val="Tahoma"/>
      <family val="2"/>
    </font>
    <font>
      <b/>
      <sz val="9"/>
      <color indexed="81"/>
      <name val="Tahoma"/>
      <family val="2"/>
    </font>
    <font>
      <sz val="9"/>
      <color indexed="81"/>
      <name val="Tahoma"/>
      <charset val="1"/>
    </font>
    <font>
      <b/>
      <sz val="9"/>
      <color indexed="81"/>
      <name val="Tahoma"/>
      <charset val="1"/>
    </font>
  </fonts>
  <fills count="7">
    <fill>
      <patternFill patternType="none"/>
    </fill>
    <fill>
      <patternFill patternType="gray125"/>
    </fill>
    <fill>
      <patternFill patternType="solid">
        <fgColor theme="1" tint="0.34998626667073579"/>
        <bgColor indexed="64"/>
      </patternFill>
    </fill>
    <fill>
      <patternFill patternType="solid">
        <fgColor theme="2" tint="-0.249977111117893"/>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theme="2" tint="-0.49998474074526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56">
    <xf numFmtId="0" fontId="0" fillId="0" borderId="0" xfId="0"/>
    <xf numFmtId="0" fontId="0" fillId="2" borderId="0" xfId="0" applyFill="1"/>
    <xf numFmtId="0" fontId="0" fillId="3" borderId="0" xfId="0" applyFill="1"/>
    <xf numFmtId="0" fontId="0" fillId="0" borderId="0" xfId="0" applyFill="1"/>
    <xf numFmtId="0" fontId="0" fillId="0" borderId="1" xfId="0" applyBorder="1" applyAlignment="1">
      <alignment horizontal="center"/>
    </xf>
    <xf numFmtId="0" fontId="0" fillId="0" borderId="1" xfId="0" applyBorder="1" applyAlignment="1">
      <alignment horizontal="center" vertical="center"/>
    </xf>
    <xf numFmtId="164" fontId="0" fillId="0" borderId="1" xfId="0" applyNumberFormat="1" applyBorder="1" applyAlignment="1">
      <alignment horizontal="center"/>
    </xf>
    <xf numFmtId="0" fontId="0" fillId="0" borderId="1" xfId="0" applyBorder="1"/>
    <xf numFmtId="0" fontId="0" fillId="0" borderId="0" xfId="0" applyAlignment="1">
      <alignment horizontal="center"/>
    </xf>
    <xf numFmtId="16" fontId="0" fillId="0" borderId="0" xfId="0" applyNumberFormat="1"/>
    <xf numFmtId="0" fontId="0" fillId="0" borderId="0" xfId="0" applyFill="1" applyBorder="1" applyAlignment="1">
      <alignment horizontal="center"/>
    </xf>
    <xf numFmtId="0" fontId="0" fillId="0" borderId="0" xfId="0" applyFill="1" applyAlignment="1">
      <alignment horizontal="center"/>
    </xf>
    <xf numFmtId="0" fontId="0" fillId="0" borderId="0" xfId="0" applyBorder="1" applyAlignment="1">
      <alignment horizontal="center"/>
    </xf>
    <xf numFmtId="164" fontId="0" fillId="0" borderId="0" xfId="0" applyNumberFormat="1" applyBorder="1" applyAlignment="1">
      <alignment horizontal="center"/>
    </xf>
    <xf numFmtId="14" fontId="0" fillId="0" borderId="0" xfId="0" applyNumberFormat="1" applyBorder="1" applyAlignment="1">
      <alignment horizontal="center"/>
    </xf>
    <xf numFmtId="0" fontId="0" fillId="0" borderId="0" xfId="0" applyBorder="1"/>
    <xf numFmtId="8" fontId="0" fillId="0" borderId="0" xfId="0" applyNumberFormat="1" applyAlignment="1">
      <alignment horizontal="center"/>
    </xf>
    <xf numFmtId="18" fontId="0" fillId="0" borderId="0" xfId="0" applyNumberFormat="1"/>
    <xf numFmtId="164" fontId="0" fillId="0" borderId="1" xfId="0" applyNumberFormat="1" applyBorder="1" applyAlignment="1">
      <alignment horizontal="center" vertical="center"/>
    </xf>
    <xf numFmtId="0" fontId="0" fillId="0" borderId="1" xfId="0" applyFill="1" applyBorder="1" applyAlignment="1">
      <alignment horizontal="center"/>
    </xf>
    <xf numFmtId="8" fontId="0" fillId="0" borderId="1" xfId="0" applyNumberFormat="1" applyFill="1" applyBorder="1" applyAlignment="1">
      <alignment horizontal="center"/>
    </xf>
    <xf numFmtId="14" fontId="0" fillId="0" borderId="1" xfId="0" applyNumberFormat="1" applyFill="1" applyBorder="1" applyAlignment="1">
      <alignment horizontal="center"/>
    </xf>
    <xf numFmtId="14" fontId="0" fillId="0" borderId="1" xfId="0" applyNumberFormat="1" applyFill="1" applyBorder="1"/>
    <xf numFmtId="164" fontId="0" fillId="0" borderId="1" xfId="0" applyNumberFormat="1" applyFill="1" applyBorder="1" applyAlignment="1">
      <alignment horizontal="center"/>
    </xf>
    <xf numFmtId="0" fontId="2"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0" fillId="0" borderId="0" xfId="0" applyBorder="1" applyAlignment="1">
      <alignment horizontal="right"/>
    </xf>
    <xf numFmtId="0" fontId="0" fillId="0" borderId="1" xfId="0" applyBorder="1" applyAlignment="1" applyProtection="1">
      <alignment horizontal="center" vertical="center"/>
    </xf>
    <xf numFmtId="0" fontId="0" fillId="0" borderId="1" xfId="0" applyBorder="1" applyAlignment="1" applyProtection="1">
      <alignment horizontal="center" vertical="center"/>
      <protection locked="0"/>
    </xf>
    <xf numFmtId="8" fontId="0" fillId="0" borderId="1" xfId="0" applyNumberFormat="1" applyBorder="1" applyAlignment="1">
      <alignment horizontal="center"/>
    </xf>
    <xf numFmtId="164" fontId="0" fillId="0" borderId="1" xfId="0" applyNumberFormat="1" applyBorder="1" applyAlignment="1" applyProtection="1">
      <alignment horizontal="center" vertical="center"/>
    </xf>
    <xf numFmtId="14" fontId="0" fillId="0" borderId="1" xfId="0" applyNumberFormat="1" applyBorder="1" applyAlignment="1" applyProtection="1">
      <alignment horizontal="center" vertical="center"/>
    </xf>
    <xf numFmtId="164" fontId="0" fillId="0" borderId="1" xfId="0" applyNumberFormat="1" applyBorder="1" applyAlignment="1" applyProtection="1">
      <alignment horizontal="center"/>
      <protection locked="0"/>
    </xf>
    <xf numFmtId="0" fontId="0" fillId="0" borderId="1" xfId="0" applyBorder="1" applyAlignment="1" applyProtection="1">
      <alignment horizontal="center"/>
      <protection locked="0"/>
    </xf>
    <xf numFmtId="8" fontId="0" fillId="0" borderId="1" xfId="0" applyNumberFormat="1" applyBorder="1" applyAlignment="1" applyProtection="1">
      <alignment horizontal="center"/>
      <protection locked="0"/>
    </xf>
    <xf numFmtId="164" fontId="0" fillId="0" borderId="0" xfId="0" applyNumberFormat="1" applyBorder="1" applyAlignment="1" applyProtection="1">
      <alignment horizontal="center"/>
      <protection locked="0"/>
    </xf>
    <xf numFmtId="0" fontId="0" fillId="0" borderId="1" xfId="0" applyNumberFormat="1" applyBorder="1" applyAlignment="1">
      <alignment horizontal="center"/>
    </xf>
    <xf numFmtId="0" fontId="4" fillId="3" borderId="1" xfId="0" applyFont="1" applyFill="1" applyBorder="1" applyAlignment="1">
      <alignment horizontal="center" vertical="center"/>
    </xf>
    <xf numFmtId="0" fontId="3" fillId="6" borderId="1" xfId="0" applyFont="1" applyFill="1" applyBorder="1" applyAlignment="1">
      <alignment horizontal="center" vertical="center"/>
    </xf>
    <xf numFmtId="8" fontId="0" fillId="0" borderId="0" xfId="0" applyNumberFormat="1" applyBorder="1" applyAlignment="1">
      <alignment horizontal="center"/>
    </xf>
    <xf numFmtId="0" fontId="5" fillId="0" borderId="0" xfId="0" applyFont="1"/>
    <xf numFmtId="164" fontId="5" fillId="0" borderId="0" xfId="0" applyNumberFormat="1" applyFont="1"/>
    <xf numFmtId="0" fontId="6" fillId="0" borderId="0" xfId="0" applyFont="1"/>
    <xf numFmtId="0" fontId="2" fillId="4" borderId="1" xfId="0" applyFont="1" applyFill="1" applyBorder="1" applyAlignment="1" applyProtection="1">
      <alignment horizontal="center" vertical="center"/>
    </xf>
    <xf numFmtId="0" fontId="2" fillId="4" borderId="1" xfId="0" applyFont="1" applyFill="1" applyBorder="1" applyAlignment="1" applyProtection="1">
      <alignment horizontal="center" vertical="center"/>
      <protection locked="0"/>
    </xf>
    <xf numFmtId="0" fontId="1" fillId="0" borderId="1" xfId="1" applyBorder="1" applyAlignment="1" applyProtection="1">
      <alignment horizontal="center"/>
      <protection locked="0"/>
    </xf>
    <xf numFmtId="164" fontId="0" fillId="0" borderId="1" xfId="0" applyNumberFormat="1" applyBorder="1" applyAlignment="1" applyProtection="1">
      <alignment horizontal="center" vertical="center"/>
      <protection locked="0"/>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2" xfId="0" applyFont="1" applyFill="1" applyBorder="1" applyAlignment="1">
      <alignment horizontal="center" vertical="center"/>
    </xf>
    <xf numFmtId="0" fontId="3" fillId="6" borderId="3" xfId="0" applyFont="1" applyFill="1" applyBorder="1" applyAlignment="1">
      <alignment horizontal="center" vertical="top"/>
    </xf>
    <xf numFmtId="0" fontId="3" fillId="6" borderId="2" xfId="0" applyFont="1" applyFill="1" applyBorder="1" applyAlignment="1">
      <alignment horizontal="center" vertical="top"/>
    </xf>
    <xf numFmtId="0" fontId="2" fillId="4" borderId="3" xfId="0" applyFont="1" applyFill="1" applyBorder="1" applyAlignment="1">
      <alignment horizontal="center"/>
    </xf>
    <xf numFmtId="0" fontId="2" fillId="4" borderId="2" xfId="0" applyFont="1" applyFill="1" applyBorder="1" applyAlignment="1">
      <alignment horizontal="center"/>
    </xf>
    <xf numFmtId="0" fontId="2" fillId="0" borderId="0" xfId="0" applyFont="1" applyFill="1" applyBorder="1" applyAlignment="1">
      <alignment horizontal="center"/>
    </xf>
    <xf numFmtId="0" fontId="2" fillId="4" borderId="1" xfId="0" applyFont="1" applyFill="1" applyBorder="1" applyAlignment="1">
      <alignment horizontal="center"/>
    </xf>
  </cellXfs>
  <cellStyles count="2">
    <cellStyle name="Hyperlink" xfId="1" builtinId="8"/>
    <cellStyle name="Normal" xfId="0" builtinId="0"/>
  </cellStyles>
  <dxfs count="1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hyperlink" Target="#Expenditure!A1"/><Relationship Id="rId2" Type="http://schemas.openxmlformats.org/officeDocument/2006/relationships/hyperlink" Target="#Invoice!A1"/><Relationship Id="rId1" Type="http://schemas.openxmlformats.org/officeDocument/2006/relationships/hyperlink" Target="#'Customer Information'!A1"/><Relationship Id="rId5" Type="http://schemas.openxmlformats.org/officeDocument/2006/relationships/hyperlink" Target="#'Bookings Information'!A1"/><Relationship Id="rId4" Type="http://schemas.openxmlformats.org/officeDocument/2006/relationships/hyperlink" Target="#'Room Information'!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276225</xdr:colOff>
      <xdr:row>0</xdr:row>
      <xdr:rowOff>238125</xdr:rowOff>
    </xdr:from>
    <xdr:to>
      <xdr:col>18</xdr:col>
      <xdr:colOff>19050</xdr:colOff>
      <xdr:row>0</xdr:row>
      <xdr:rowOff>971550</xdr:rowOff>
    </xdr:to>
    <xdr:sp macro="" textlink="">
      <xdr:nvSpPr>
        <xdr:cNvPr id="2" name="TextBox 1"/>
        <xdr:cNvSpPr txBox="1"/>
      </xdr:nvSpPr>
      <xdr:spPr>
        <a:xfrm>
          <a:off x="885825" y="238125"/>
          <a:ext cx="10106025"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chemeClr val="bg2"/>
              </a:solidFill>
              <a:latin typeface="Accord SF" pitchFamily="2" charset="0"/>
              <a:cs typeface="Aharoni" pitchFamily="2" charset="-79"/>
            </a:rPr>
            <a:t>Andrew's</a:t>
          </a:r>
          <a:r>
            <a:rPr lang="en-GB" sz="3200" baseline="0">
              <a:solidFill>
                <a:schemeClr val="bg2"/>
              </a:solidFill>
              <a:latin typeface="Accord SF" pitchFamily="2" charset="0"/>
              <a:cs typeface="Aharoni" pitchFamily="2" charset="-79"/>
            </a:rPr>
            <a:t> Bed and Breakfast - Booking System</a:t>
          </a:r>
          <a:endParaRPr lang="en-GB" sz="3200">
            <a:solidFill>
              <a:schemeClr val="bg2"/>
            </a:solidFill>
            <a:latin typeface="Accord SF" pitchFamily="2" charset="0"/>
            <a:cs typeface="Aharoni" pitchFamily="2" charset="-79"/>
          </a:endParaRPr>
        </a:p>
      </xdr:txBody>
    </xdr:sp>
    <xdr:clientData/>
  </xdr:twoCellAnchor>
  <xdr:twoCellAnchor>
    <xdr:from>
      <xdr:col>0</xdr:col>
      <xdr:colOff>1</xdr:colOff>
      <xdr:row>2</xdr:row>
      <xdr:rowOff>57151</xdr:rowOff>
    </xdr:from>
    <xdr:to>
      <xdr:col>3</xdr:col>
      <xdr:colOff>114301</xdr:colOff>
      <xdr:row>6</xdr:row>
      <xdr:rowOff>85725</xdr:rowOff>
    </xdr:to>
    <xdr:sp macro="" textlink="">
      <xdr:nvSpPr>
        <xdr:cNvPr id="6" name="Rectangle 5">
          <a:hlinkClick xmlns:r="http://schemas.openxmlformats.org/officeDocument/2006/relationships" r:id="rId1"/>
        </xdr:cNvPr>
        <xdr:cNvSpPr/>
      </xdr:nvSpPr>
      <xdr:spPr>
        <a:xfrm>
          <a:off x="1" y="1428751"/>
          <a:ext cx="1943100" cy="790574"/>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latin typeface="Accord SF" pitchFamily="2" charset="0"/>
            </a:rPr>
            <a:t>Customer</a:t>
          </a:r>
          <a:r>
            <a:rPr lang="en-GB" sz="1800" baseline="0">
              <a:solidFill>
                <a:schemeClr val="bg1"/>
              </a:solidFill>
              <a:latin typeface="Accord SF" pitchFamily="2" charset="0"/>
            </a:rPr>
            <a:t> Information</a:t>
          </a:r>
          <a:endParaRPr lang="en-GB" sz="2000">
            <a:solidFill>
              <a:schemeClr val="bg1"/>
            </a:solidFill>
            <a:latin typeface="Accord SF" pitchFamily="2" charset="0"/>
          </a:endParaRPr>
        </a:p>
      </xdr:txBody>
    </xdr:sp>
    <xdr:clientData/>
  </xdr:twoCellAnchor>
  <xdr:twoCellAnchor>
    <xdr:from>
      <xdr:col>15</xdr:col>
      <xdr:colOff>63071</xdr:colOff>
      <xdr:row>2</xdr:row>
      <xdr:rowOff>47626</xdr:rowOff>
    </xdr:from>
    <xdr:to>
      <xdr:col>19</xdr:col>
      <xdr:colOff>9524</xdr:colOff>
      <xdr:row>6</xdr:row>
      <xdr:rowOff>76200</xdr:rowOff>
    </xdr:to>
    <xdr:sp macro="" textlink="">
      <xdr:nvSpPr>
        <xdr:cNvPr id="12" name="Rectangle 11">
          <a:hlinkClick xmlns:r="http://schemas.openxmlformats.org/officeDocument/2006/relationships" r:id="rId2"/>
        </xdr:cNvPr>
        <xdr:cNvSpPr/>
      </xdr:nvSpPr>
      <xdr:spPr>
        <a:xfrm>
          <a:off x="9207071" y="1419226"/>
          <a:ext cx="2384853" cy="790574"/>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latin typeface="Accord SF" pitchFamily="2" charset="0"/>
            </a:rPr>
            <a:t>Invoice</a:t>
          </a:r>
          <a:endParaRPr lang="en-GB" sz="2000">
            <a:solidFill>
              <a:schemeClr val="bg1"/>
            </a:solidFill>
            <a:latin typeface="Accord SF" pitchFamily="2" charset="0"/>
          </a:endParaRPr>
        </a:p>
      </xdr:txBody>
    </xdr:sp>
    <xdr:clientData/>
  </xdr:twoCellAnchor>
  <xdr:twoCellAnchor>
    <xdr:from>
      <xdr:col>11</xdr:col>
      <xdr:colOff>91646</xdr:colOff>
      <xdr:row>2</xdr:row>
      <xdr:rowOff>47626</xdr:rowOff>
    </xdr:from>
    <xdr:to>
      <xdr:col>15</xdr:col>
      <xdr:colOff>38099</xdr:colOff>
      <xdr:row>6</xdr:row>
      <xdr:rowOff>76200</xdr:rowOff>
    </xdr:to>
    <xdr:sp macro="" textlink="">
      <xdr:nvSpPr>
        <xdr:cNvPr id="13" name="Rectangle 12">
          <a:hlinkClick xmlns:r="http://schemas.openxmlformats.org/officeDocument/2006/relationships" r:id="rId3"/>
        </xdr:cNvPr>
        <xdr:cNvSpPr/>
      </xdr:nvSpPr>
      <xdr:spPr>
        <a:xfrm>
          <a:off x="6797246" y="1419226"/>
          <a:ext cx="2384853" cy="790574"/>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latin typeface="Accord SF" pitchFamily="2" charset="0"/>
            </a:rPr>
            <a:t>Monthly</a:t>
          </a:r>
          <a:r>
            <a:rPr lang="en-GB" sz="1800" baseline="0">
              <a:solidFill>
                <a:schemeClr val="bg1"/>
              </a:solidFill>
              <a:latin typeface="Accord SF" pitchFamily="2" charset="0"/>
            </a:rPr>
            <a:t> Calculations</a:t>
          </a:r>
          <a:endParaRPr lang="en-GB" sz="2000">
            <a:solidFill>
              <a:schemeClr val="bg1"/>
            </a:solidFill>
            <a:latin typeface="Accord SF" pitchFamily="2" charset="0"/>
          </a:endParaRPr>
        </a:p>
      </xdr:txBody>
    </xdr:sp>
    <xdr:clientData/>
  </xdr:twoCellAnchor>
  <xdr:twoCellAnchor>
    <xdr:from>
      <xdr:col>3</xdr:col>
      <xdr:colOff>139271</xdr:colOff>
      <xdr:row>2</xdr:row>
      <xdr:rowOff>57151</xdr:rowOff>
    </xdr:from>
    <xdr:to>
      <xdr:col>7</xdr:col>
      <xdr:colOff>85724</xdr:colOff>
      <xdr:row>6</xdr:row>
      <xdr:rowOff>85725</xdr:rowOff>
    </xdr:to>
    <xdr:sp macro="" textlink="">
      <xdr:nvSpPr>
        <xdr:cNvPr id="14" name="Rectangle 13">
          <a:hlinkClick xmlns:r="http://schemas.openxmlformats.org/officeDocument/2006/relationships" r:id="rId4"/>
        </xdr:cNvPr>
        <xdr:cNvSpPr/>
      </xdr:nvSpPr>
      <xdr:spPr>
        <a:xfrm>
          <a:off x="1968071" y="1428751"/>
          <a:ext cx="2384853" cy="790574"/>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latin typeface="Accord SF" pitchFamily="2" charset="0"/>
            </a:rPr>
            <a:t>Room </a:t>
          </a:r>
          <a:r>
            <a:rPr lang="en-GB" sz="1800" baseline="0">
              <a:solidFill>
                <a:schemeClr val="bg1"/>
              </a:solidFill>
              <a:latin typeface="Accord SF" pitchFamily="2" charset="0"/>
            </a:rPr>
            <a:t>Information</a:t>
          </a:r>
          <a:endParaRPr lang="en-GB" sz="2000">
            <a:solidFill>
              <a:schemeClr val="bg1"/>
            </a:solidFill>
            <a:latin typeface="Accord SF" pitchFamily="2" charset="0"/>
          </a:endParaRPr>
        </a:p>
      </xdr:txBody>
    </xdr:sp>
    <xdr:clientData/>
  </xdr:twoCellAnchor>
  <xdr:twoCellAnchor>
    <xdr:from>
      <xdr:col>7</xdr:col>
      <xdr:colOff>123183</xdr:colOff>
      <xdr:row>2</xdr:row>
      <xdr:rowOff>47626</xdr:rowOff>
    </xdr:from>
    <xdr:to>
      <xdr:col>11</xdr:col>
      <xdr:colOff>57150</xdr:colOff>
      <xdr:row>6</xdr:row>
      <xdr:rowOff>76200</xdr:rowOff>
    </xdr:to>
    <xdr:sp macro="" textlink="">
      <xdr:nvSpPr>
        <xdr:cNvPr id="16" name="Rectangle 15">
          <a:hlinkClick xmlns:r="http://schemas.openxmlformats.org/officeDocument/2006/relationships" r:id="rId5"/>
        </xdr:cNvPr>
        <xdr:cNvSpPr/>
      </xdr:nvSpPr>
      <xdr:spPr>
        <a:xfrm>
          <a:off x="4390383" y="1419226"/>
          <a:ext cx="2372367" cy="790574"/>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latin typeface="Accord SF" pitchFamily="2" charset="0"/>
            </a:rPr>
            <a:t>Bookings </a:t>
          </a:r>
          <a:r>
            <a:rPr lang="en-GB" sz="1800" baseline="0">
              <a:solidFill>
                <a:schemeClr val="bg1"/>
              </a:solidFill>
              <a:latin typeface="Accord SF" pitchFamily="2" charset="0"/>
            </a:rPr>
            <a:t>Information</a:t>
          </a:r>
          <a:endParaRPr lang="en-GB" sz="2000">
            <a:solidFill>
              <a:schemeClr val="bg1"/>
            </a:solidFill>
            <a:latin typeface="Accord SF"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342900</xdr:colOff>
      <xdr:row>0</xdr:row>
      <xdr:rowOff>238125</xdr:rowOff>
    </xdr:from>
    <xdr:to>
      <xdr:col>11</xdr:col>
      <xdr:colOff>123825</xdr:colOff>
      <xdr:row>0</xdr:row>
      <xdr:rowOff>971550</xdr:rowOff>
    </xdr:to>
    <xdr:sp macro="" textlink="">
      <xdr:nvSpPr>
        <xdr:cNvPr id="2" name="TextBox 1"/>
        <xdr:cNvSpPr txBox="1"/>
      </xdr:nvSpPr>
      <xdr:spPr>
        <a:xfrm>
          <a:off x="342900" y="238125"/>
          <a:ext cx="112776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chemeClr val="bg2"/>
              </a:solidFill>
              <a:latin typeface="Accord SF" pitchFamily="2" charset="0"/>
              <a:cs typeface="Aharoni" pitchFamily="2" charset="-79"/>
            </a:rPr>
            <a:t>Andrew's</a:t>
          </a:r>
          <a:r>
            <a:rPr lang="en-GB" sz="3200" baseline="0">
              <a:solidFill>
                <a:schemeClr val="bg2"/>
              </a:solidFill>
              <a:latin typeface="Accord SF" pitchFamily="2" charset="0"/>
              <a:cs typeface="Aharoni" pitchFamily="2" charset="-79"/>
            </a:rPr>
            <a:t> Bed and Breakfast - Customer Information</a:t>
          </a:r>
          <a:endParaRPr lang="en-GB" sz="3200">
            <a:solidFill>
              <a:schemeClr val="bg2"/>
            </a:solidFill>
            <a:latin typeface="Accord SF" pitchFamily="2" charset="0"/>
            <a:cs typeface="Aharoni" pitchFamily="2" charset="-79"/>
          </a:endParaRPr>
        </a:p>
      </xdr:txBody>
    </xdr:sp>
    <xdr:clientData/>
  </xdr:twoCellAnchor>
  <mc:AlternateContent xmlns:mc="http://schemas.openxmlformats.org/markup-compatibility/2006">
    <mc:Choice xmlns:a14="http://schemas.microsoft.com/office/drawing/2010/main" Requires="a14">
      <xdr:twoCellAnchor editAs="oneCell">
        <xdr:from>
          <xdr:col>4</xdr:col>
          <xdr:colOff>638175</xdr:colOff>
          <xdr:row>23</xdr:row>
          <xdr:rowOff>95250</xdr:rowOff>
        </xdr:from>
        <xdr:to>
          <xdr:col>5</xdr:col>
          <xdr:colOff>647700</xdr:colOff>
          <xdr:row>26</xdr:row>
          <xdr:rowOff>57150</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twoCellAnchor>
    <xdr:from>
      <xdr:col>0</xdr:col>
      <xdr:colOff>1</xdr:colOff>
      <xdr:row>12</xdr:row>
      <xdr:rowOff>0</xdr:rowOff>
    </xdr:from>
    <xdr:to>
      <xdr:col>2</xdr:col>
      <xdr:colOff>1</xdr:colOff>
      <xdr:row>16</xdr:row>
      <xdr:rowOff>9525</xdr:rowOff>
    </xdr:to>
    <xdr:sp macro="[0]!Sheet2.Rectangle8_Click" textlink="">
      <xdr:nvSpPr>
        <xdr:cNvPr id="9" name="Rectangle 8"/>
        <xdr:cNvSpPr/>
      </xdr:nvSpPr>
      <xdr:spPr>
        <a:xfrm>
          <a:off x="1"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Quick</a:t>
          </a:r>
          <a:r>
            <a:rPr lang="en-GB" sz="1800" baseline="0">
              <a:solidFill>
                <a:schemeClr val="bg1"/>
              </a:solidFill>
            </a:rPr>
            <a:t> Preview</a:t>
          </a:r>
          <a:endParaRPr lang="en-GB" sz="1800">
            <a:solidFill>
              <a:schemeClr val="bg1"/>
            </a:solidFill>
          </a:endParaRPr>
        </a:p>
      </xdr:txBody>
    </xdr:sp>
    <xdr:clientData/>
  </xdr:twoCellAnchor>
  <xdr:twoCellAnchor>
    <xdr:from>
      <xdr:col>2</xdr:col>
      <xdr:colOff>104775</xdr:colOff>
      <xdr:row>12</xdr:row>
      <xdr:rowOff>0</xdr:rowOff>
    </xdr:from>
    <xdr:to>
      <xdr:col>3</xdr:col>
      <xdr:colOff>914400</xdr:colOff>
      <xdr:row>16</xdr:row>
      <xdr:rowOff>9525</xdr:rowOff>
    </xdr:to>
    <xdr:sp macro="[0]!PrintSheet" textlink="">
      <xdr:nvSpPr>
        <xdr:cNvPr id="11" name="Rectangle 10"/>
        <xdr:cNvSpPr/>
      </xdr:nvSpPr>
      <xdr:spPr>
        <a:xfrm>
          <a:off x="2085975"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Print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0</xdr:row>
      <xdr:rowOff>266700</xdr:rowOff>
    </xdr:from>
    <xdr:to>
      <xdr:col>18</xdr:col>
      <xdr:colOff>161925</xdr:colOff>
      <xdr:row>0</xdr:row>
      <xdr:rowOff>1000125</xdr:rowOff>
    </xdr:to>
    <xdr:sp macro="" textlink="">
      <xdr:nvSpPr>
        <xdr:cNvPr id="3" name="TextBox 2"/>
        <xdr:cNvSpPr txBox="1"/>
      </xdr:nvSpPr>
      <xdr:spPr>
        <a:xfrm>
          <a:off x="66675" y="266700"/>
          <a:ext cx="12277725"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chemeClr val="bg2"/>
              </a:solidFill>
              <a:latin typeface="Accord SF" pitchFamily="2" charset="0"/>
              <a:cs typeface="Aharoni" pitchFamily="2" charset="-79"/>
            </a:rPr>
            <a:t>Andrew's</a:t>
          </a:r>
          <a:r>
            <a:rPr lang="en-GB" sz="3200" baseline="0">
              <a:solidFill>
                <a:schemeClr val="bg2"/>
              </a:solidFill>
              <a:latin typeface="Accord SF" pitchFamily="2" charset="0"/>
              <a:cs typeface="Aharoni" pitchFamily="2" charset="-79"/>
            </a:rPr>
            <a:t> Bed and Breakfast - Booking Information</a:t>
          </a:r>
          <a:endParaRPr lang="en-GB" sz="3200">
            <a:solidFill>
              <a:schemeClr val="bg2"/>
            </a:solidFill>
            <a:latin typeface="Accord SF" pitchFamily="2" charset="0"/>
            <a:cs typeface="Aharoni" pitchFamily="2" charset="-79"/>
          </a:endParaRPr>
        </a:p>
      </xdr:txBody>
    </xdr:sp>
    <xdr:clientData/>
  </xdr:twoCellAnchor>
  <xdr:twoCellAnchor>
    <xdr:from>
      <xdr:col>0</xdr:col>
      <xdr:colOff>0</xdr:colOff>
      <xdr:row>12</xdr:row>
      <xdr:rowOff>0</xdr:rowOff>
    </xdr:from>
    <xdr:to>
      <xdr:col>2</xdr:col>
      <xdr:colOff>390525</xdr:colOff>
      <xdr:row>16</xdr:row>
      <xdr:rowOff>9525</xdr:rowOff>
    </xdr:to>
    <xdr:sp macro="[0]!Sheet2.Rectangle8_Click" textlink="">
      <xdr:nvSpPr>
        <xdr:cNvPr id="9" name="Rectangle 8"/>
        <xdr:cNvSpPr/>
      </xdr:nvSpPr>
      <xdr:spPr>
        <a:xfrm>
          <a:off x="0"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Quick</a:t>
          </a:r>
          <a:r>
            <a:rPr lang="en-GB" sz="1800" baseline="0">
              <a:solidFill>
                <a:schemeClr val="bg1"/>
              </a:solidFill>
            </a:rPr>
            <a:t> Preview</a:t>
          </a:r>
          <a:endParaRPr lang="en-GB" sz="1800">
            <a:solidFill>
              <a:schemeClr val="bg1"/>
            </a:solidFill>
          </a:endParaRPr>
        </a:p>
      </xdr:txBody>
    </xdr:sp>
    <xdr:clientData/>
  </xdr:twoCellAnchor>
  <xdr:twoCellAnchor>
    <xdr:from>
      <xdr:col>2</xdr:col>
      <xdr:colOff>495300</xdr:colOff>
      <xdr:row>12</xdr:row>
      <xdr:rowOff>0</xdr:rowOff>
    </xdr:from>
    <xdr:to>
      <xdr:col>4</xdr:col>
      <xdr:colOff>857250</xdr:colOff>
      <xdr:row>16</xdr:row>
      <xdr:rowOff>9525</xdr:rowOff>
    </xdr:to>
    <xdr:sp macro="[0]!PrintSheet" textlink="">
      <xdr:nvSpPr>
        <xdr:cNvPr id="10" name="Rectangle 9"/>
        <xdr:cNvSpPr/>
      </xdr:nvSpPr>
      <xdr:spPr>
        <a:xfrm>
          <a:off x="2085975"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Print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561975</xdr:colOff>
      <xdr:row>0</xdr:row>
      <xdr:rowOff>276225</xdr:rowOff>
    </xdr:from>
    <xdr:to>
      <xdr:col>18</xdr:col>
      <xdr:colOff>561975</xdr:colOff>
      <xdr:row>0</xdr:row>
      <xdr:rowOff>1009650</xdr:rowOff>
    </xdr:to>
    <xdr:sp macro="" textlink="">
      <xdr:nvSpPr>
        <xdr:cNvPr id="3" name="TextBox 2"/>
        <xdr:cNvSpPr txBox="1"/>
      </xdr:nvSpPr>
      <xdr:spPr>
        <a:xfrm>
          <a:off x="561975" y="276225"/>
          <a:ext cx="109728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chemeClr val="bg2"/>
              </a:solidFill>
              <a:latin typeface="Accord SF" pitchFamily="2" charset="0"/>
              <a:cs typeface="Aharoni" pitchFamily="2" charset="-79"/>
            </a:rPr>
            <a:t>Andrew's</a:t>
          </a:r>
          <a:r>
            <a:rPr lang="en-GB" sz="3200" baseline="0">
              <a:solidFill>
                <a:schemeClr val="bg2"/>
              </a:solidFill>
              <a:latin typeface="Accord SF" pitchFamily="2" charset="0"/>
              <a:cs typeface="Aharoni" pitchFamily="2" charset="-79"/>
            </a:rPr>
            <a:t> Bed and Breakfast - Room Information</a:t>
          </a:r>
          <a:endParaRPr lang="en-GB" sz="3200">
            <a:solidFill>
              <a:schemeClr val="bg2"/>
            </a:solidFill>
            <a:latin typeface="Accord SF" pitchFamily="2" charset="0"/>
            <a:cs typeface="Aharoni" pitchFamily="2" charset="-79"/>
          </a:endParaRPr>
        </a:p>
      </xdr:txBody>
    </xdr:sp>
    <xdr:clientData/>
  </xdr:twoCellAnchor>
  <xdr:twoCellAnchor>
    <xdr:from>
      <xdr:col>0</xdr:col>
      <xdr:colOff>0</xdr:colOff>
      <xdr:row>12</xdr:row>
      <xdr:rowOff>0</xdr:rowOff>
    </xdr:from>
    <xdr:to>
      <xdr:col>2</xdr:col>
      <xdr:colOff>561975</xdr:colOff>
      <xdr:row>16</xdr:row>
      <xdr:rowOff>9525</xdr:rowOff>
    </xdr:to>
    <xdr:sp macro="[0]!Sheet2.Rectangle8_Click" textlink="">
      <xdr:nvSpPr>
        <xdr:cNvPr id="9" name="Rectangle 8"/>
        <xdr:cNvSpPr/>
      </xdr:nvSpPr>
      <xdr:spPr>
        <a:xfrm>
          <a:off x="0"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Quick</a:t>
          </a:r>
          <a:r>
            <a:rPr lang="en-GB" sz="1800" baseline="0">
              <a:solidFill>
                <a:schemeClr val="bg1"/>
              </a:solidFill>
            </a:rPr>
            <a:t> Preview</a:t>
          </a:r>
          <a:endParaRPr lang="en-GB" sz="1800">
            <a:solidFill>
              <a:schemeClr val="bg1"/>
            </a:solidFill>
          </a:endParaRPr>
        </a:p>
      </xdr:txBody>
    </xdr:sp>
    <xdr:clientData/>
  </xdr:twoCellAnchor>
  <xdr:twoCellAnchor>
    <xdr:from>
      <xdr:col>2</xdr:col>
      <xdr:colOff>666750</xdr:colOff>
      <xdr:row>12</xdr:row>
      <xdr:rowOff>0</xdr:rowOff>
    </xdr:from>
    <xdr:to>
      <xdr:col>5</xdr:col>
      <xdr:colOff>66675</xdr:colOff>
      <xdr:row>16</xdr:row>
      <xdr:rowOff>9525</xdr:rowOff>
    </xdr:to>
    <xdr:sp macro="[0]!PrintSheet" textlink="">
      <xdr:nvSpPr>
        <xdr:cNvPr id="10" name="Rectangle 9"/>
        <xdr:cNvSpPr/>
      </xdr:nvSpPr>
      <xdr:spPr>
        <a:xfrm>
          <a:off x="2085975" y="33432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Print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628650</xdr:colOff>
      <xdr:row>0</xdr:row>
      <xdr:rowOff>238125</xdr:rowOff>
    </xdr:from>
    <xdr:to>
      <xdr:col>17</xdr:col>
      <xdr:colOff>85725</xdr:colOff>
      <xdr:row>0</xdr:row>
      <xdr:rowOff>971550</xdr:rowOff>
    </xdr:to>
    <xdr:sp macro="" textlink="">
      <xdr:nvSpPr>
        <xdr:cNvPr id="3" name="TextBox 2"/>
        <xdr:cNvSpPr txBox="1"/>
      </xdr:nvSpPr>
      <xdr:spPr>
        <a:xfrm>
          <a:off x="628650" y="238125"/>
          <a:ext cx="110109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a:solidFill>
                <a:schemeClr val="bg2"/>
              </a:solidFill>
              <a:latin typeface="Accord SF" pitchFamily="2" charset="0"/>
              <a:cs typeface="Aharoni" pitchFamily="2" charset="-79"/>
            </a:rPr>
            <a:t>Andrew's</a:t>
          </a:r>
          <a:r>
            <a:rPr lang="en-GB" sz="3200" baseline="0">
              <a:solidFill>
                <a:schemeClr val="bg2"/>
              </a:solidFill>
              <a:latin typeface="Accord SF" pitchFamily="2" charset="0"/>
              <a:cs typeface="Aharoni" pitchFamily="2" charset="-79"/>
            </a:rPr>
            <a:t> Bed and Breakfast - Expenditure</a:t>
          </a:r>
          <a:endParaRPr lang="en-GB" sz="3200">
            <a:solidFill>
              <a:schemeClr val="bg2"/>
            </a:solidFill>
            <a:latin typeface="Accord SF" pitchFamily="2" charset="0"/>
            <a:cs typeface="Aharoni" pitchFamily="2" charset="-79"/>
          </a:endParaRPr>
        </a:p>
      </xdr:txBody>
    </xdr:sp>
    <xdr:clientData/>
  </xdr:twoCellAnchor>
  <xdr:twoCellAnchor>
    <xdr:from>
      <xdr:col>2</xdr:col>
      <xdr:colOff>95250</xdr:colOff>
      <xdr:row>23</xdr:row>
      <xdr:rowOff>0</xdr:rowOff>
    </xdr:from>
    <xdr:to>
      <xdr:col>3</xdr:col>
      <xdr:colOff>514350</xdr:colOff>
      <xdr:row>27</xdr:row>
      <xdr:rowOff>9525</xdr:rowOff>
    </xdr:to>
    <xdr:sp macro="[0]!Sheet2.Rectangle8_Click" textlink="">
      <xdr:nvSpPr>
        <xdr:cNvPr id="10" name="Rectangle 9"/>
        <xdr:cNvSpPr/>
      </xdr:nvSpPr>
      <xdr:spPr>
        <a:xfrm>
          <a:off x="3019425" y="55149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Quick</a:t>
          </a:r>
          <a:r>
            <a:rPr lang="en-GB" sz="1800" baseline="0">
              <a:solidFill>
                <a:schemeClr val="bg1"/>
              </a:solidFill>
            </a:rPr>
            <a:t> Preview</a:t>
          </a:r>
          <a:endParaRPr lang="en-GB" sz="1800">
            <a:solidFill>
              <a:schemeClr val="bg1"/>
            </a:solidFill>
          </a:endParaRPr>
        </a:p>
      </xdr:txBody>
    </xdr:sp>
    <xdr:clientData/>
  </xdr:twoCellAnchor>
  <xdr:twoCellAnchor>
    <xdr:from>
      <xdr:col>3</xdr:col>
      <xdr:colOff>600075</xdr:colOff>
      <xdr:row>23</xdr:row>
      <xdr:rowOff>0</xdr:rowOff>
    </xdr:from>
    <xdr:to>
      <xdr:col>4</xdr:col>
      <xdr:colOff>923925</xdr:colOff>
      <xdr:row>27</xdr:row>
      <xdr:rowOff>9525</xdr:rowOff>
    </xdr:to>
    <xdr:sp macro="[0]!PrintSheet" textlink="">
      <xdr:nvSpPr>
        <xdr:cNvPr id="11" name="Rectangle 10"/>
        <xdr:cNvSpPr/>
      </xdr:nvSpPr>
      <xdr:spPr>
        <a:xfrm>
          <a:off x="5086350" y="5514975"/>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Print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10</xdr:row>
      <xdr:rowOff>0</xdr:rowOff>
    </xdr:from>
    <xdr:to>
      <xdr:col>2</xdr:col>
      <xdr:colOff>152400</xdr:colOff>
      <xdr:row>14</xdr:row>
      <xdr:rowOff>9525</xdr:rowOff>
    </xdr:to>
    <xdr:sp macro="[0]!Sheet2.Rectangle8_Click" textlink="">
      <xdr:nvSpPr>
        <xdr:cNvPr id="7" name="Rectangle 6"/>
        <xdr:cNvSpPr/>
      </xdr:nvSpPr>
      <xdr:spPr>
        <a:xfrm>
          <a:off x="0" y="1905000"/>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Quick</a:t>
          </a:r>
          <a:r>
            <a:rPr lang="en-GB" sz="1800" baseline="0">
              <a:solidFill>
                <a:schemeClr val="bg1"/>
              </a:solidFill>
            </a:rPr>
            <a:t> Preview</a:t>
          </a:r>
          <a:endParaRPr lang="en-GB" sz="1800">
            <a:solidFill>
              <a:schemeClr val="bg1"/>
            </a:solidFill>
          </a:endParaRPr>
        </a:p>
      </xdr:txBody>
    </xdr:sp>
    <xdr:clientData/>
  </xdr:twoCellAnchor>
  <xdr:twoCellAnchor>
    <xdr:from>
      <xdr:col>2</xdr:col>
      <xdr:colOff>238125</xdr:colOff>
      <xdr:row>10</xdr:row>
      <xdr:rowOff>0</xdr:rowOff>
    </xdr:from>
    <xdr:to>
      <xdr:col>3</xdr:col>
      <xdr:colOff>952500</xdr:colOff>
      <xdr:row>14</xdr:row>
      <xdr:rowOff>9525</xdr:rowOff>
    </xdr:to>
    <xdr:sp macro="[0]!PrintSheet" textlink="">
      <xdr:nvSpPr>
        <xdr:cNvPr id="8" name="Rectangle 7"/>
        <xdr:cNvSpPr/>
      </xdr:nvSpPr>
      <xdr:spPr>
        <a:xfrm>
          <a:off x="2066925" y="1905000"/>
          <a:ext cx="1981200" cy="771525"/>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a:solidFill>
                <a:schemeClr val="bg1"/>
              </a:solidFill>
            </a:rPr>
            <a:t>Print 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noFill/>
        <a:ln w="9525" cmpd="sng">
          <a:noFill/>
        </a:ln>
      </a:spPr>
      <a:bodyPr vertOverflow="clip" horzOverflow="clip" wrap="square" rtlCol="0" anchor="ctr"/>
      <a:lstStyle>
        <a:defPPr algn="ctr">
          <a:defRPr sz="4400">
            <a:solidFill>
              <a:schemeClr val="bg2"/>
            </a:solidFill>
            <a:latin typeface="Accord SF" pitchFamily="2" charset="0"/>
            <a:cs typeface="Aharoni" pitchFamily="2" charset="-79"/>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iraq@gov.com" TargetMode="External"/><Relationship Id="rId13" Type="http://schemas.openxmlformats.org/officeDocument/2006/relationships/image" Target="../media/image1.emf"/><Relationship Id="rId3" Type="http://schemas.openxmlformats.org/officeDocument/2006/relationships/hyperlink" Target="mailto:foodie@gmail.com" TargetMode="External"/><Relationship Id="rId7" Type="http://schemas.openxmlformats.org/officeDocument/2006/relationships/hyperlink" Target="mailto:iraq@gov.com" TargetMode="External"/><Relationship Id="rId12" Type="http://schemas.openxmlformats.org/officeDocument/2006/relationships/control" Target="../activeX/activeX1.xml"/><Relationship Id="rId2" Type="http://schemas.openxmlformats.org/officeDocument/2006/relationships/hyperlink" Target="mailto:foodie@gmail.com" TargetMode="External"/><Relationship Id="rId1" Type="http://schemas.openxmlformats.org/officeDocument/2006/relationships/hyperlink" Target="mailto:iraq@gov.com" TargetMode="External"/><Relationship Id="rId6" Type="http://schemas.openxmlformats.org/officeDocument/2006/relationships/hyperlink" Target="mailto:iraq@gov.com" TargetMode="External"/><Relationship Id="rId11" Type="http://schemas.openxmlformats.org/officeDocument/2006/relationships/vmlDrawing" Target="../drawings/vmlDrawing1.vml"/><Relationship Id="rId5" Type="http://schemas.openxmlformats.org/officeDocument/2006/relationships/hyperlink" Target="mailto:foodie@gmail.com" TargetMode="External"/><Relationship Id="rId10" Type="http://schemas.openxmlformats.org/officeDocument/2006/relationships/drawing" Target="../drawings/drawing2.xml"/><Relationship Id="rId4" Type="http://schemas.openxmlformats.org/officeDocument/2006/relationships/hyperlink" Target="mailto:foodie@gmail.com" TargetMode="Externa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tint="0.34998626667073579"/>
  </sheetPr>
  <dimension ref="A1:T2"/>
  <sheetViews>
    <sheetView workbookViewId="0">
      <selection activeCell="D34" sqref="D34"/>
    </sheetView>
  </sheetViews>
  <sheetFormatPr defaultRowHeight="15" x14ac:dyDescent="0.25"/>
  <sheetData>
    <row r="1" spans="1:20" ht="93" customHeight="1" x14ac:dyDescent="0.25">
      <c r="A1" s="1"/>
      <c r="B1" s="1"/>
      <c r="C1" s="1"/>
      <c r="D1" s="1"/>
      <c r="E1" s="1"/>
      <c r="F1" s="1"/>
      <c r="G1" s="1"/>
      <c r="H1" s="1"/>
      <c r="I1" s="1"/>
      <c r="J1" s="1"/>
      <c r="K1" s="1"/>
      <c r="L1" s="1"/>
      <c r="M1" s="1"/>
      <c r="N1" s="1"/>
      <c r="O1" s="1"/>
      <c r="P1" s="1"/>
      <c r="Q1" s="1"/>
      <c r="R1" s="1"/>
      <c r="S1" s="1"/>
      <c r="T1" s="3"/>
    </row>
    <row r="2" spans="1:20" x14ac:dyDescent="0.25">
      <c r="A2" s="2"/>
      <c r="B2" s="2"/>
      <c r="C2" s="2"/>
      <c r="D2" s="2"/>
      <c r="E2" s="2"/>
      <c r="F2" s="2"/>
      <c r="G2" s="2"/>
      <c r="H2" s="2"/>
      <c r="I2" s="2"/>
      <c r="J2" s="2"/>
      <c r="K2" s="2"/>
      <c r="L2" s="2"/>
      <c r="M2" s="2"/>
      <c r="N2" s="2"/>
      <c r="O2" s="2"/>
      <c r="P2" s="2"/>
      <c r="Q2" s="2"/>
      <c r="R2" s="2"/>
      <c r="S2" s="2"/>
      <c r="T2"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59999389629810485"/>
  </sheetPr>
  <dimension ref="A1:W24"/>
  <sheetViews>
    <sheetView workbookViewId="0">
      <selection activeCell="E33" sqref="E33"/>
    </sheetView>
  </sheetViews>
  <sheetFormatPr defaultRowHeight="15" x14ac:dyDescent="0.25"/>
  <cols>
    <col min="1" max="1" width="15.5703125" customWidth="1"/>
    <col min="2" max="2" width="14.140625" customWidth="1"/>
    <col min="3" max="3" width="17.5703125" customWidth="1"/>
    <col min="4" max="4" width="14.42578125" customWidth="1"/>
    <col min="5" max="5" width="23.28515625" customWidth="1"/>
    <col min="6" max="6" width="16.5703125" customWidth="1"/>
    <col min="7" max="7" width="18.85546875" customWidth="1"/>
    <col min="8" max="8" width="19.7109375" customWidth="1"/>
    <col min="9" max="9" width="19.42578125" customWidth="1"/>
    <col min="10" max="10" width="17.42578125" customWidth="1"/>
    <col min="11" max="11" width="15.42578125" customWidth="1"/>
    <col min="12" max="12" width="15" customWidth="1"/>
    <col min="13" max="13" width="17.7109375" customWidth="1"/>
    <col min="14" max="14" width="17.85546875" customWidth="1"/>
    <col min="15" max="16" width="20.42578125" customWidth="1"/>
    <col min="17" max="17" width="17.28515625" customWidth="1"/>
    <col min="18" max="18" width="24.5703125" customWidth="1"/>
    <col min="19" max="19" width="23.5703125" customWidth="1"/>
    <col min="20" max="20" width="24.42578125" customWidth="1"/>
    <col min="21" max="21" width="23.7109375" customWidth="1"/>
    <col min="22" max="22" width="28" customWidth="1"/>
  </cols>
  <sheetData>
    <row r="1" spans="1:23" ht="93" customHeight="1" x14ac:dyDescent="0.25">
      <c r="A1" s="1"/>
      <c r="B1" s="1"/>
      <c r="C1" s="1"/>
      <c r="D1" s="1"/>
      <c r="E1" s="1"/>
      <c r="F1" s="1"/>
      <c r="G1" s="1"/>
      <c r="H1" s="1"/>
      <c r="I1" s="1"/>
      <c r="J1" s="1"/>
      <c r="K1" s="1"/>
      <c r="L1" s="1"/>
      <c r="M1" s="1"/>
      <c r="N1" s="1"/>
      <c r="O1" s="1"/>
      <c r="P1" s="1"/>
      <c r="Q1" s="1"/>
      <c r="R1" s="1"/>
      <c r="S1" s="1"/>
      <c r="T1" s="1"/>
      <c r="U1" s="1"/>
      <c r="V1" s="1"/>
      <c r="W1" s="3"/>
    </row>
    <row r="2" spans="1:23" x14ac:dyDescent="0.25">
      <c r="A2" s="2"/>
      <c r="B2" s="2"/>
      <c r="C2" s="2"/>
      <c r="D2" s="2"/>
      <c r="E2" s="2"/>
      <c r="F2" s="2"/>
      <c r="G2" s="2"/>
      <c r="H2" s="2"/>
      <c r="I2" s="2"/>
      <c r="J2" s="2"/>
      <c r="K2" s="2"/>
      <c r="L2" s="2"/>
      <c r="M2" s="2"/>
      <c r="N2" s="2"/>
      <c r="O2" s="2"/>
      <c r="P2" s="2"/>
      <c r="Q2" s="2"/>
      <c r="R2" s="2"/>
      <c r="S2" s="2"/>
      <c r="T2" s="2"/>
      <c r="U2" s="2"/>
      <c r="V2" s="2"/>
      <c r="W2" s="3"/>
    </row>
    <row r="3" spans="1:23" ht="20.25" customHeight="1" x14ac:dyDescent="0.25">
      <c r="A3" s="24" t="s">
        <v>0</v>
      </c>
      <c r="B3" s="44" t="s">
        <v>1</v>
      </c>
      <c r="C3" s="44" t="s">
        <v>2</v>
      </c>
      <c r="D3" s="44" t="s">
        <v>3</v>
      </c>
      <c r="E3" s="44" t="s">
        <v>41</v>
      </c>
      <c r="F3" s="44" t="s">
        <v>42</v>
      </c>
      <c r="G3" s="44" t="s">
        <v>4</v>
      </c>
      <c r="H3" s="44" t="s">
        <v>5</v>
      </c>
      <c r="I3" s="44" t="s">
        <v>6</v>
      </c>
      <c r="J3" s="44" t="s">
        <v>7</v>
      </c>
      <c r="K3" s="44" t="s">
        <v>8</v>
      </c>
    </row>
    <row r="4" spans="1:23" x14ac:dyDescent="0.25">
      <c r="A4" s="33" t="s">
        <v>9</v>
      </c>
      <c r="B4" s="33" t="s">
        <v>17</v>
      </c>
      <c r="C4" s="33" t="s">
        <v>18</v>
      </c>
      <c r="D4" s="33" t="s">
        <v>53</v>
      </c>
      <c r="E4" s="45" t="s">
        <v>43</v>
      </c>
      <c r="F4" s="33" t="s">
        <v>44</v>
      </c>
      <c r="G4" s="33" t="s">
        <v>19</v>
      </c>
      <c r="H4" s="33" t="s">
        <v>20</v>
      </c>
      <c r="I4" s="33" t="s">
        <v>21</v>
      </c>
      <c r="J4" s="33" t="s">
        <v>22</v>
      </c>
      <c r="K4" s="33" t="s">
        <v>23</v>
      </c>
    </row>
    <row r="5" spans="1:23" x14ac:dyDescent="0.25">
      <c r="A5" s="33" t="s">
        <v>10</v>
      </c>
      <c r="B5" s="33" t="s">
        <v>24</v>
      </c>
      <c r="C5" s="33" t="s">
        <v>26</v>
      </c>
      <c r="D5" s="33" t="s">
        <v>25</v>
      </c>
      <c r="E5" s="45" t="s">
        <v>55</v>
      </c>
      <c r="F5" s="33" t="s">
        <v>45</v>
      </c>
      <c r="G5" s="33" t="s">
        <v>27</v>
      </c>
      <c r="H5" s="33" t="s">
        <v>28</v>
      </c>
      <c r="I5" s="33" t="s">
        <v>29</v>
      </c>
      <c r="J5" s="33" t="s">
        <v>22</v>
      </c>
      <c r="K5" s="33" t="s">
        <v>23</v>
      </c>
    </row>
    <row r="6" spans="1:23" x14ac:dyDescent="0.25">
      <c r="A6" s="33" t="s">
        <v>11</v>
      </c>
      <c r="B6" s="33" t="s">
        <v>30</v>
      </c>
      <c r="C6" s="33" t="s">
        <v>31</v>
      </c>
      <c r="D6" s="33" t="s">
        <v>32</v>
      </c>
      <c r="E6" s="45" t="s">
        <v>43</v>
      </c>
      <c r="F6" s="33" t="s">
        <v>46</v>
      </c>
      <c r="G6" s="33" t="s">
        <v>33</v>
      </c>
      <c r="H6" s="33" t="s">
        <v>34</v>
      </c>
      <c r="I6" s="33" t="s">
        <v>35</v>
      </c>
      <c r="J6" s="33" t="s">
        <v>22</v>
      </c>
      <c r="K6" s="33" t="s">
        <v>23</v>
      </c>
    </row>
    <row r="7" spans="1:23" x14ac:dyDescent="0.25">
      <c r="A7" s="33" t="s">
        <v>12</v>
      </c>
      <c r="B7" s="33" t="s">
        <v>36</v>
      </c>
      <c r="C7" s="33" t="s">
        <v>37</v>
      </c>
      <c r="D7" s="33" t="s">
        <v>38</v>
      </c>
      <c r="E7" s="45" t="s">
        <v>55</v>
      </c>
      <c r="F7" s="33" t="s">
        <v>47</v>
      </c>
      <c r="G7" s="33" t="s">
        <v>39</v>
      </c>
      <c r="H7" s="33" t="s">
        <v>20</v>
      </c>
      <c r="I7" s="33" t="s">
        <v>40</v>
      </c>
      <c r="J7" s="33" t="s">
        <v>22</v>
      </c>
      <c r="K7" s="33" t="s">
        <v>23</v>
      </c>
    </row>
    <row r="8" spans="1:23" x14ac:dyDescent="0.25">
      <c r="A8" s="33" t="s">
        <v>13</v>
      </c>
      <c r="B8" s="33" t="s">
        <v>30</v>
      </c>
      <c r="C8" s="33" t="s">
        <v>52</v>
      </c>
      <c r="D8" s="33" t="s">
        <v>53</v>
      </c>
      <c r="E8" s="45" t="s">
        <v>43</v>
      </c>
      <c r="F8" s="33" t="s">
        <v>48</v>
      </c>
      <c r="G8" s="33" t="s">
        <v>54</v>
      </c>
      <c r="H8" s="33" t="s">
        <v>57</v>
      </c>
      <c r="I8" s="33" t="s">
        <v>56</v>
      </c>
      <c r="J8" s="33" t="s">
        <v>22</v>
      </c>
      <c r="K8" s="33" t="s">
        <v>23</v>
      </c>
    </row>
    <row r="9" spans="1:23" x14ac:dyDescent="0.25">
      <c r="A9" s="33" t="s">
        <v>14</v>
      </c>
      <c r="B9" s="33" t="s">
        <v>17</v>
      </c>
      <c r="C9" s="33" t="s">
        <v>18</v>
      </c>
      <c r="D9" s="33" t="s">
        <v>53</v>
      </c>
      <c r="E9" s="45" t="s">
        <v>55</v>
      </c>
      <c r="F9" s="33" t="s">
        <v>49</v>
      </c>
      <c r="G9" s="33" t="s">
        <v>19</v>
      </c>
      <c r="H9" s="33" t="s">
        <v>20</v>
      </c>
      <c r="I9" s="33" t="s">
        <v>40</v>
      </c>
      <c r="J9" s="33" t="s">
        <v>22</v>
      </c>
      <c r="K9" s="33" t="s">
        <v>23</v>
      </c>
    </row>
    <row r="10" spans="1:23" x14ac:dyDescent="0.25">
      <c r="A10" s="33" t="s">
        <v>15</v>
      </c>
      <c r="B10" s="33" t="s">
        <v>30</v>
      </c>
      <c r="C10" s="33" t="s">
        <v>31</v>
      </c>
      <c r="D10" s="33" t="s">
        <v>32</v>
      </c>
      <c r="E10" s="45" t="s">
        <v>43</v>
      </c>
      <c r="F10" s="33" t="s">
        <v>50</v>
      </c>
      <c r="G10" s="33" t="s">
        <v>33</v>
      </c>
      <c r="H10" s="33" t="s">
        <v>20</v>
      </c>
      <c r="I10" s="33" t="s">
        <v>40</v>
      </c>
      <c r="J10" s="33" t="s">
        <v>22</v>
      </c>
      <c r="K10" s="33" t="s">
        <v>23</v>
      </c>
    </row>
    <row r="11" spans="1:23" x14ac:dyDescent="0.25">
      <c r="A11" s="33" t="s">
        <v>16</v>
      </c>
      <c r="B11" s="33" t="s">
        <v>24</v>
      </c>
      <c r="C11" s="33" t="s">
        <v>26</v>
      </c>
      <c r="D11" s="33" t="s">
        <v>25</v>
      </c>
      <c r="E11" s="45" t="s">
        <v>55</v>
      </c>
      <c r="F11" s="33" t="s">
        <v>51</v>
      </c>
      <c r="G11" s="33" t="s">
        <v>54</v>
      </c>
      <c r="H11" s="33" t="s">
        <v>20</v>
      </c>
      <c r="I11" s="33" t="s">
        <v>40</v>
      </c>
      <c r="J11" s="33" t="s">
        <v>22</v>
      </c>
      <c r="K11" s="33" t="s">
        <v>23</v>
      </c>
    </row>
    <row r="12" spans="1:23" x14ac:dyDescent="0.25">
      <c r="A12" s="3"/>
      <c r="B12" s="3"/>
      <c r="C12" s="3"/>
      <c r="D12" s="3"/>
      <c r="E12" s="3"/>
      <c r="F12" s="3"/>
      <c r="G12" s="3"/>
      <c r="H12" s="3"/>
      <c r="I12" s="3"/>
      <c r="J12" s="3"/>
      <c r="K12" s="3"/>
      <c r="L12" s="3"/>
      <c r="M12" s="3"/>
      <c r="N12" s="3"/>
      <c r="O12" s="3"/>
      <c r="P12" s="3"/>
    </row>
    <row r="13" spans="1:23" x14ac:dyDescent="0.25">
      <c r="A13" s="3"/>
      <c r="B13" s="3"/>
      <c r="C13" s="3"/>
      <c r="D13" s="3"/>
      <c r="E13" s="3"/>
      <c r="F13" s="3"/>
      <c r="G13" s="3"/>
      <c r="H13" s="3"/>
      <c r="I13" s="3"/>
      <c r="J13" s="3"/>
      <c r="K13" s="3"/>
      <c r="L13" s="3"/>
      <c r="M13" s="3"/>
      <c r="N13" s="3"/>
      <c r="O13" s="3"/>
      <c r="P13" s="3"/>
    </row>
    <row r="14" spans="1:23" x14ac:dyDescent="0.25">
      <c r="A14" s="3"/>
      <c r="B14" s="3"/>
      <c r="C14" s="3"/>
      <c r="D14" s="3"/>
      <c r="E14" s="3"/>
      <c r="F14" s="3"/>
      <c r="G14" s="3"/>
      <c r="H14" s="3"/>
      <c r="I14" s="3"/>
      <c r="J14" s="3"/>
      <c r="K14" s="3"/>
      <c r="L14" s="3"/>
      <c r="M14" s="3"/>
      <c r="N14" s="3"/>
      <c r="O14" s="3"/>
      <c r="P14" s="3"/>
    </row>
    <row r="15" spans="1:23" x14ac:dyDescent="0.25">
      <c r="A15" s="3"/>
      <c r="B15" s="3"/>
      <c r="C15" s="3"/>
      <c r="D15" s="3"/>
      <c r="E15" s="3"/>
      <c r="F15" s="3"/>
      <c r="G15" s="3"/>
      <c r="H15" s="3"/>
      <c r="I15" s="3"/>
      <c r="J15" s="3"/>
      <c r="K15" s="3"/>
      <c r="L15" s="3"/>
      <c r="M15" s="3"/>
      <c r="N15" s="3"/>
      <c r="O15" s="3"/>
      <c r="P15" s="3"/>
    </row>
    <row r="16" spans="1:23"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c r="P20" s="3"/>
    </row>
    <row r="21" spans="1:16" x14ac:dyDescent="0.25">
      <c r="A21" s="3"/>
      <c r="B21" s="3"/>
      <c r="C21" s="3"/>
      <c r="D21" s="3"/>
      <c r="E21" s="3"/>
      <c r="F21" s="3"/>
      <c r="G21" s="3"/>
      <c r="H21" s="3"/>
      <c r="I21" s="3"/>
      <c r="J21" s="3"/>
      <c r="K21" s="3"/>
      <c r="L21" s="3"/>
      <c r="M21" s="3"/>
      <c r="N21" s="3"/>
      <c r="O21" s="3"/>
      <c r="P21"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row>
    <row r="24" spans="1:16" x14ac:dyDescent="0.25">
      <c r="A24" s="3"/>
      <c r="B24" s="3"/>
      <c r="C24" s="3"/>
      <c r="D24" s="3"/>
    </row>
  </sheetData>
  <sortState ref="L4:V11">
    <sortCondition ref="L4:L11"/>
  </sortState>
  <dataValidations count="3">
    <dataValidation type="list" allowBlank="1" showInputMessage="1" showErrorMessage="1" sqref="B4:B11">
      <formula1>"Please choose title,Mr,Mrs,Ms,Sir,Doctor,Lord"</formula1>
    </dataValidation>
    <dataValidation type="textLength" allowBlank="1" showInputMessage="1" showErrorMessage="1" errorTitle="Invalid Input" error="Postcodes cannot be longer than six characters." sqref="K4:K11">
      <formula1>1</formula1>
      <formula2>6</formula2>
    </dataValidation>
    <dataValidation type="list" allowBlank="1" showDropDown="1" showInputMessage="1" showErrorMessage="1" sqref="A4:A11">
      <formula1>$A$4:$A$11</formula1>
    </dataValidation>
  </dataValidations>
  <hyperlinks>
    <hyperlink ref="E4" r:id="rId1"/>
    <hyperlink ref="E5" r:id="rId2"/>
    <hyperlink ref="E7" r:id="rId3"/>
    <hyperlink ref="E9" r:id="rId4"/>
    <hyperlink ref="E11" r:id="rId5"/>
    <hyperlink ref="E6" r:id="rId6"/>
    <hyperlink ref="E8" r:id="rId7"/>
    <hyperlink ref="E10" r:id="rId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2050" r:id="rId12" name="CommandButton1">
          <controlPr defaultSize="0" autoLine="0" r:id="rId13">
            <anchor moveWithCells="1">
              <from>
                <xdr:col>4</xdr:col>
                <xdr:colOff>638175</xdr:colOff>
                <xdr:row>23</xdr:row>
                <xdr:rowOff>95250</xdr:rowOff>
              </from>
              <to>
                <xdr:col>5</xdr:col>
                <xdr:colOff>647700</xdr:colOff>
                <xdr:row>26</xdr:row>
                <xdr:rowOff>57150</xdr:rowOff>
              </to>
            </anchor>
          </controlPr>
        </control>
      </mc:Choice>
      <mc:Fallback>
        <control shapeId="2050"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6" tint="0.39997558519241921"/>
  </sheetPr>
  <dimension ref="A1:AE31"/>
  <sheetViews>
    <sheetView showGridLines="0" zoomScaleNormal="100" workbookViewId="0">
      <selection activeCell="B3" sqref="B3"/>
    </sheetView>
  </sheetViews>
  <sheetFormatPr defaultRowHeight="15" x14ac:dyDescent="0.25"/>
  <cols>
    <col min="1" max="1" width="11.85546875" customWidth="1"/>
    <col min="2" max="2" width="12" customWidth="1"/>
    <col min="3" max="3" width="12.7109375" customWidth="1"/>
    <col min="4" max="4" width="11.5703125" customWidth="1"/>
    <col min="5" max="5" width="14" customWidth="1"/>
    <col min="6" max="6" width="20.5703125" customWidth="1"/>
    <col min="7" max="7" width="16.5703125" customWidth="1"/>
    <col min="8" max="8" width="17.140625" customWidth="1"/>
    <col min="9" max="9" width="14.85546875" customWidth="1"/>
    <col min="10" max="10" width="15.42578125" customWidth="1"/>
    <col min="11" max="11" width="14.85546875" customWidth="1"/>
    <col min="12" max="12" width="14" customWidth="1"/>
    <col min="13" max="13" width="10.7109375" customWidth="1"/>
    <col min="14" max="14" width="11.140625" customWidth="1"/>
    <col min="15" max="15" width="16.7109375" bestFit="1" customWidth="1"/>
    <col min="16" max="16" width="17.7109375" customWidth="1"/>
    <col min="17" max="17" width="15.85546875" customWidth="1"/>
    <col min="18" max="18" width="16.42578125" customWidth="1"/>
    <col min="19" max="19" width="12.42578125" customWidth="1"/>
    <col min="20" max="20" width="15.85546875" customWidth="1"/>
    <col min="21" max="21" width="16.85546875" bestFit="1" customWidth="1"/>
    <col min="22" max="23" width="16.85546875" customWidth="1"/>
    <col min="24" max="24" width="18.28515625" bestFit="1" customWidth="1"/>
    <col min="25" max="25" width="15.42578125" bestFit="1" customWidth="1"/>
    <col min="26" max="27" width="15.85546875" customWidth="1"/>
    <col min="28" max="28" width="17" bestFit="1" customWidth="1"/>
    <col min="29" max="30" width="17" customWidth="1"/>
    <col min="31" max="31" width="15.42578125" customWidth="1"/>
  </cols>
  <sheetData>
    <row r="1" spans="1:31" ht="93"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row>
    <row r="2" spans="1:3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row>
    <row r="3" spans="1:31" ht="20.25" customHeight="1" x14ac:dyDescent="0.25">
      <c r="A3" s="43" t="s">
        <v>72</v>
      </c>
      <c r="B3" s="24" t="s">
        <v>0</v>
      </c>
      <c r="C3" s="24" t="s">
        <v>1</v>
      </c>
      <c r="D3" s="24" t="s">
        <v>2</v>
      </c>
      <c r="E3" s="24" t="s">
        <v>3</v>
      </c>
      <c r="F3" s="24" t="s">
        <v>41</v>
      </c>
      <c r="G3" s="24" t="s">
        <v>42</v>
      </c>
      <c r="H3" s="24" t="s">
        <v>4</v>
      </c>
      <c r="I3" s="24" t="s">
        <v>5</v>
      </c>
      <c r="J3" s="24" t="s">
        <v>6</v>
      </c>
      <c r="K3" s="24" t="s">
        <v>7</v>
      </c>
      <c r="L3" s="24" t="s">
        <v>8</v>
      </c>
      <c r="M3" s="24" t="str">
        <f>'Room Information'!A3</f>
        <v>Room ID</v>
      </c>
      <c r="N3" s="24" t="str">
        <f>'Room Information'!B3</f>
        <v>Room Type</v>
      </c>
      <c r="O3" s="24" t="str">
        <f>CONCATENATE("Initial ",'Room Information'!C3)</f>
        <v>Initial Room Price</v>
      </c>
      <c r="P3" s="24" t="str">
        <f>'Room Information'!D3</f>
        <v>Room Availability</v>
      </c>
      <c r="Q3" s="24" t="s">
        <v>76</v>
      </c>
      <c r="R3" s="24" t="s">
        <v>77</v>
      </c>
      <c r="S3" s="24" t="s">
        <v>73</v>
      </c>
      <c r="T3" s="24" t="s">
        <v>74</v>
      </c>
      <c r="U3" s="24" t="s">
        <v>75</v>
      </c>
      <c r="V3" s="24" t="s">
        <v>117</v>
      </c>
      <c r="W3" s="24" t="s">
        <v>121</v>
      </c>
      <c r="X3" s="24" t="s">
        <v>78</v>
      </c>
      <c r="Y3" s="24" t="s">
        <v>90</v>
      </c>
      <c r="Z3" s="24" t="s">
        <v>79</v>
      </c>
      <c r="AA3" s="24" t="s">
        <v>102</v>
      </c>
      <c r="AB3" s="24" t="s">
        <v>80</v>
      </c>
      <c r="AC3" s="24" t="s">
        <v>103</v>
      </c>
      <c r="AD3" s="24" t="s">
        <v>111</v>
      </c>
      <c r="AE3" s="24" t="s">
        <v>110</v>
      </c>
    </row>
    <row r="4" spans="1:31" x14ac:dyDescent="0.25">
      <c r="A4" s="27" t="s">
        <v>94</v>
      </c>
      <c r="B4" s="28" t="s">
        <v>9</v>
      </c>
      <c r="C4" s="27" t="str">
        <f>VLOOKUP(B4,'Customer Information'!$A$4:$P$11,2,FALSE)</f>
        <v>Ms</v>
      </c>
      <c r="D4" s="27" t="str">
        <f>VLOOKUP(B4,'Customer Information'!$A$4:$P$11,3,FALSE)</f>
        <v>Samantha</v>
      </c>
      <c r="E4" s="27" t="str">
        <f>VLOOKUP(B4,'Customer Information'!$A$4:$P$11,4,FALSE)</f>
        <v>Blair</v>
      </c>
      <c r="F4" s="27" t="str">
        <f>VLOOKUP(B4,'Customer Information'!$A$4:$P$11,5,FALSE)</f>
        <v>iraq@gov.com</v>
      </c>
      <c r="G4" s="27" t="str">
        <f>VLOOKUP(B4,'Customer Information'!$A$4:$P$11,6,FALSE)</f>
        <v>87864 345678</v>
      </c>
      <c r="H4" s="27" t="str">
        <f>VLOOKUP(B4,'Customer Information'!$A$4:$P$11,7,FALSE)</f>
        <v>85 Afghan Lane</v>
      </c>
      <c r="I4" s="27" t="str">
        <f>VLOOKUP(B4,'Customer Information'!$A$4:$P$11,8,FALSE)</f>
        <v>London</v>
      </c>
      <c r="J4" s="27" t="str">
        <f>VLOOKUP(B4,'Customer Information'!$A$4:$P$11,9,FALSE)</f>
        <v>Westminster</v>
      </c>
      <c r="K4" s="27" t="str">
        <f>VLOOKUP(B4,'Customer Information'!$A$4:$P$11,10,FALSE)</f>
        <v>England</v>
      </c>
      <c r="L4" s="27" t="str">
        <f>VLOOKUP(B4,'Customer Information'!$A$4:$P$11,11,FALSE)</f>
        <v>SY7 8EE</v>
      </c>
      <c r="M4" s="28" t="s">
        <v>59</v>
      </c>
      <c r="N4" s="27" t="str">
        <f>VLOOKUP(M4,'Room Information'!$A$4:$D$11,2,FALSE)</f>
        <v>Twin</v>
      </c>
      <c r="O4" s="30">
        <f>VLOOKUP(M4,'Room Information'!$A$4:$D$11,3,FALSE)</f>
        <v>10</v>
      </c>
      <c r="P4" s="27" t="str">
        <f>VLOOKUP(M4,'Room Information'!$A$4:$D$11,4,FALSE)</f>
        <v>Not Available</v>
      </c>
      <c r="Q4" s="31">
        <f ca="1">TODAY()</f>
        <v>41569</v>
      </c>
      <c r="R4" s="27" t="str">
        <f t="shared" ref="R4:R11" ca="1" si="0">CONCATENATE(S4-Q4," Days")</f>
        <v>27 Days</v>
      </c>
      <c r="S4" s="31">
        <v>41596</v>
      </c>
      <c r="T4" s="31">
        <v>41603</v>
      </c>
      <c r="U4" s="5">
        <f t="shared" ref="U4:U11" si="1">T4-S4</f>
        <v>7</v>
      </c>
      <c r="V4" s="28" t="s">
        <v>119</v>
      </c>
      <c r="W4" s="5" t="str">
        <f t="shared" ref="W4:W11" si="2">IF(V4="Lunch","£5.00",IF(V4="Breakfast","£2.50",IF(V4="Evening","£6.50",IF(V4="All Meals","£10.00",IF(V4="No Meals","£0.00")))))</f>
        <v>£2.50</v>
      </c>
      <c r="X4" s="28" t="s">
        <v>83</v>
      </c>
      <c r="Y4" s="5" t="str">
        <f t="shared" ref="Y4:Y11" si="3">IF(X4="Room Only","£5.00",IF(X4="Full Service","£10.00",IF(X4="Clothes Only","£3.00")))</f>
        <v>£3.00</v>
      </c>
      <c r="Z4" s="28" t="s">
        <v>85</v>
      </c>
      <c r="AA4" s="18" t="str">
        <f t="shared" ref="AA4:AA11" si="4">IF(Z4="Evenings","£5.00",IF(Z4="Mornings","£3.00",IF(Z4="All hours","£10.00",IF(Z4="Afternoons","£4.50"))))</f>
        <v>£3.00</v>
      </c>
      <c r="AB4" s="28" t="s">
        <v>104</v>
      </c>
      <c r="AC4" s="5" t="str">
        <f t="shared" ref="AC4:AC11" si="5">IF(AB4="10 Minutes","£1.50",IF(AB4="20 Minutes","£3.00",IF(AB4="30 Minutes","£4.50",IF(AB4="All Day","£10.00"))))</f>
        <v>£1.50</v>
      </c>
      <c r="AD4" s="18">
        <f t="shared" ref="AD4:AD11" si="6">U4*O4</f>
        <v>70</v>
      </c>
      <c r="AE4" s="6">
        <f t="shared" ref="AE4:AE11" si="7">Y4+AA4+AC4+AD4+W4</f>
        <v>80</v>
      </c>
    </row>
    <row r="5" spans="1:31" x14ac:dyDescent="0.25">
      <c r="A5" s="27" t="s">
        <v>95</v>
      </c>
      <c r="B5" s="28" t="s">
        <v>10</v>
      </c>
      <c r="C5" s="27" t="str">
        <f>VLOOKUP(B5,'Customer Information'!$A$4:$P$11,2,FALSE)</f>
        <v>Mrs</v>
      </c>
      <c r="D5" s="27" t="str">
        <f>VLOOKUP(B5,'Customer Information'!$A$4:$P$11,3,FALSE)</f>
        <v>Paulina</v>
      </c>
      <c r="E5" s="27" t="str">
        <f>VLOOKUP(B5,'Customer Information'!$A$4:$P$11,4,FALSE)</f>
        <v>Jebb</v>
      </c>
      <c r="F5" s="27" t="str">
        <f>VLOOKUP(B5,'Customer Information'!$A$4:$P$11,5,FALSE)</f>
        <v>foodie@gmail.com</v>
      </c>
      <c r="G5" s="27" t="str">
        <f>VLOOKUP(B5,'Customer Information'!$A$4:$P$11,6,FALSE)</f>
        <v>87864 345679</v>
      </c>
      <c r="H5" s="27" t="str">
        <f>VLOOKUP(B5,'Customer Information'!$A$4:$P$11,7,FALSE)</f>
        <v>97 Salmon Street</v>
      </c>
      <c r="I5" s="27" t="str">
        <f>VLOOKUP(B5,'Customer Information'!$A$4:$P$11,8,FALSE)</f>
        <v>Cheshire</v>
      </c>
      <c r="J5" s="27" t="str">
        <f>VLOOKUP(B5,'Customer Information'!$A$4:$P$11,9,FALSE)</f>
        <v>Ingoo Plaza</v>
      </c>
      <c r="K5" s="27" t="str">
        <f>VLOOKUP(B5,'Customer Information'!$A$4:$P$11,10,FALSE)</f>
        <v>England</v>
      </c>
      <c r="L5" s="27" t="str">
        <f>VLOOKUP(B5,'Customer Information'!$A$4:$P$11,11,FALSE)</f>
        <v>SY7 8EE</v>
      </c>
      <c r="M5" s="28" t="s">
        <v>60</v>
      </c>
      <c r="N5" s="27" t="str">
        <f>VLOOKUP(M5,'Room Information'!$A$4:$D$11,2,FALSE)</f>
        <v>Double</v>
      </c>
      <c r="O5" s="30">
        <f>VLOOKUP(M5,'Room Information'!$A$4:$D$11,3,FALSE)</f>
        <v>10</v>
      </c>
      <c r="P5" s="27" t="str">
        <f>VLOOKUP(M5,'Room Information'!$A$4:$D$11,4,FALSE)</f>
        <v>Not Available</v>
      </c>
      <c r="Q5" s="31">
        <v>41437</v>
      </c>
      <c r="R5" s="27" t="str">
        <f t="shared" si="0"/>
        <v>54 Days</v>
      </c>
      <c r="S5" s="31">
        <v>41491</v>
      </c>
      <c r="T5" s="31">
        <v>41492</v>
      </c>
      <c r="U5" s="5">
        <f t="shared" si="1"/>
        <v>1</v>
      </c>
      <c r="V5" s="28" t="s">
        <v>119</v>
      </c>
      <c r="W5" s="5" t="str">
        <f t="shared" si="2"/>
        <v>£2.50</v>
      </c>
      <c r="X5" s="28" t="s">
        <v>82</v>
      </c>
      <c r="Y5" s="5" t="str">
        <f t="shared" si="3"/>
        <v>£5.00</v>
      </c>
      <c r="Z5" s="28" t="s">
        <v>108</v>
      </c>
      <c r="AA5" s="18" t="str">
        <f t="shared" si="4"/>
        <v>£5.00</v>
      </c>
      <c r="AB5" s="28" t="s">
        <v>104</v>
      </c>
      <c r="AC5" s="5" t="str">
        <f t="shared" si="5"/>
        <v>£1.50</v>
      </c>
      <c r="AD5" s="18">
        <f t="shared" si="6"/>
        <v>10</v>
      </c>
      <c r="AE5" s="6">
        <f t="shared" si="7"/>
        <v>24</v>
      </c>
    </row>
    <row r="6" spans="1:31" x14ac:dyDescent="0.25">
      <c r="A6" s="27" t="s">
        <v>96</v>
      </c>
      <c r="B6" s="28" t="s">
        <v>11</v>
      </c>
      <c r="C6" s="27" t="str">
        <f>VLOOKUP(B6,'Customer Information'!$A$4:$P$11,2,FALSE)</f>
        <v>Doctor</v>
      </c>
      <c r="D6" s="27" t="str">
        <f>VLOOKUP(B6,'Customer Information'!$A$4:$P$11,3,FALSE)</f>
        <v>Paul</v>
      </c>
      <c r="E6" s="27" t="str">
        <f>VLOOKUP(B6,'Customer Information'!$A$4:$P$11,4,FALSE)</f>
        <v>Jacobs</v>
      </c>
      <c r="F6" s="27" t="str">
        <f>VLOOKUP(B6,'Customer Information'!$A$4:$P$11,5,FALSE)</f>
        <v>iraq@gov.com</v>
      </c>
      <c r="G6" s="27" t="str">
        <f>VLOOKUP(B6,'Customer Information'!$A$4:$P$11,6,FALSE)</f>
        <v>87864 345680</v>
      </c>
      <c r="H6" s="27" t="str">
        <f>VLOOKUP(B6,'Customer Information'!$A$4:$P$11,7,FALSE)</f>
        <v>32 Chip Avenue</v>
      </c>
      <c r="I6" s="27" t="str">
        <f>VLOOKUP(B6,'Customer Information'!$A$4:$P$11,8,FALSE)</f>
        <v>Birmingham</v>
      </c>
      <c r="J6" s="27" t="str">
        <f>VLOOKUP(B6,'Customer Information'!$A$4:$P$11,9,FALSE)</f>
        <v>The Bullring</v>
      </c>
      <c r="K6" s="27" t="str">
        <f>VLOOKUP(B6,'Customer Information'!$A$4:$P$11,10,FALSE)</f>
        <v>England</v>
      </c>
      <c r="L6" s="27" t="str">
        <f>VLOOKUP(B6,'Customer Information'!$A$4:$P$11,11,FALSE)</f>
        <v>SY7 8EE</v>
      </c>
      <c r="M6" s="28" t="s">
        <v>61</v>
      </c>
      <c r="N6" s="27" t="str">
        <f>VLOOKUP(M6,'Room Information'!$A$4:$D$11,2,FALSE)</f>
        <v>Twin</v>
      </c>
      <c r="O6" s="30">
        <f>VLOOKUP(M6,'Room Information'!$A$4:$D$11,3,FALSE)</f>
        <v>10</v>
      </c>
      <c r="P6" s="27" t="str">
        <f>VLOOKUP(M6,'Room Information'!$A$4:$D$11,4,FALSE)</f>
        <v>Not Available</v>
      </c>
      <c r="Q6" s="31">
        <v>41283</v>
      </c>
      <c r="R6" s="27" t="str">
        <f t="shared" si="0"/>
        <v>149 Days</v>
      </c>
      <c r="S6" s="31">
        <v>41432</v>
      </c>
      <c r="T6" s="31">
        <v>41463</v>
      </c>
      <c r="U6" s="5">
        <f t="shared" si="1"/>
        <v>31</v>
      </c>
      <c r="V6" s="28" t="s">
        <v>122</v>
      </c>
      <c r="W6" s="5" t="str">
        <f t="shared" si="2"/>
        <v>£0.00</v>
      </c>
      <c r="X6" s="28" t="s">
        <v>81</v>
      </c>
      <c r="Y6" s="5" t="str">
        <f t="shared" si="3"/>
        <v>£10.00</v>
      </c>
      <c r="Z6" s="28" t="s">
        <v>108</v>
      </c>
      <c r="AA6" s="18" t="str">
        <f t="shared" si="4"/>
        <v>£5.00</v>
      </c>
      <c r="AB6" s="28" t="s">
        <v>105</v>
      </c>
      <c r="AC6" s="5" t="str">
        <f t="shared" si="5"/>
        <v>£3.00</v>
      </c>
      <c r="AD6" s="18">
        <f t="shared" si="6"/>
        <v>310</v>
      </c>
      <c r="AE6" s="6">
        <f t="shared" si="7"/>
        <v>328</v>
      </c>
    </row>
    <row r="7" spans="1:31" x14ac:dyDescent="0.25">
      <c r="A7" s="27" t="s">
        <v>97</v>
      </c>
      <c r="B7" s="28" t="s">
        <v>9</v>
      </c>
      <c r="C7" s="27" t="str">
        <f>VLOOKUP(B7,'Customer Information'!$A$4:$P$11,2,FALSE)</f>
        <v>Ms</v>
      </c>
      <c r="D7" s="27" t="str">
        <f>VLOOKUP(B7,'Customer Information'!$A$4:$P$11,3,FALSE)</f>
        <v>Samantha</v>
      </c>
      <c r="E7" s="27" t="str">
        <f>VLOOKUP(B7,'Customer Information'!$A$4:$P$11,4,FALSE)</f>
        <v>Blair</v>
      </c>
      <c r="F7" s="27" t="str">
        <f>VLOOKUP(B7,'Customer Information'!$A$4:$P$11,5,FALSE)</f>
        <v>iraq@gov.com</v>
      </c>
      <c r="G7" s="27" t="str">
        <f>VLOOKUP(B7,'Customer Information'!$A$4:$P$11,6,FALSE)</f>
        <v>87864 345678</v>
      </c>
      <c r="H7" s="27" t="str">
        <f>VLOOKUP(B7,'Customer Information'!$A$4:$P$11,7,FALSE)</f>
        <v>85 Afghan Lane</v>
      </c>
      <c r="I7" s="27" t="str">
        <f>VLOOKUP(B7,'Customer Information'!$A$4:$P$11,8,FALSE)</f>
        <v>London</v>
      </c>
      <c r="J7" s="27" t="str">
        <f>VLOOKUP(B7,'Customer Information'!$A$4:$P$11,9,FALSE)</f>
        <v>Westminster</v>
      </c>
      <c r="K7" s="27" t="str">
        <f>VLOOKUP(B7,'Customer Information'!$A$4:$P$11,10,FALSE)</f>
        <v>England</v>
      </c>
      <c r="L7" s="27" t="str">
        <f>VLOOKUP(B7,'Customer Information'!$A$4:$P$11,11,FALSE)</f>
        <v>SY7 8EE</v>
      </c>
      <c r="M7" s="28" t="s">
        <v>62</v>
      </c>
      <c r="N7" s="27" t="str">
        <f>VLOOKUP(M7,'Room Information'!$A$4:$D$11,2,FALSE)</f>
        <v>Double</v>
      </c>
      <c r="O7" s="30">
        <f>VLOOKUP(M7,'Room Information'!$A$4:$D$11,3,FALSE)</f>
        <v>10</v>
      </c>
      <c r="P7" s="27" t="str">
        <f>VLOOKUP(M7,'Room Information'!$A$4:$D$11,4,FALSE)</f>
        <v>Available</v>
      </c>
      <c r="Q7" s="31">
        <v>41289</v>
      </c>
      <c r="R7" s="27" t="str">
        <f t="shared" si="0"/>
        <v>345 Days</v>
      </c>
      <c r="S7" s="31">
        <v>41634</v>
      </c>
      <c r="T7" s="31">
        <v>41640</v>
      </c>
      <c r="U7" s="5">
        <f t="shared" si="1"/>
        <v>6</v>
      </c>
      <c r="V7" s="28" t="s">
        <v>118</v>
      </c>
      <c r="W7" s="5" t="str">
        <f t="shared" si="2"/>
        <v>£5.00</v>
      </c>
      <c r="X7" s="28" t="s">
        <v>81</v>
      </c>
      <c r="Y7" s="5" t="str">
        <f t="shared" si="3"/>
        <v>£10.00</v>
      </c>
      <c r="Z7" s="28" t="s">
        <v>87</v>
      </c>
      <c r="AA7" s="18" t="str">
        <f t="shared" si="4"/>
        <v>£4.50</v>
      </c>
      <c r="AB7" s="28" t="s">
        <v>109</v>
      </c>
      <c r="AC7" s="5" t="str">
        <f t="shared" si="5"/>
        <v>£10.00</v>
      </c>
      <c r="AD7" s="18">
        <f t="shared" si="6"/>
        <v>60</v>
      </c>
      <c r="AE7" s="6">
        <f t="shared" si="7"/>
        <v>89.5</v>
      </c>
    </row>
    <row r="8" spans="1:31" x14ac:dyDescent="0.25">
      <c r="A8" s="27" t="s">
        <v>98</v>
      </c>
      <c r="B8" s="28" t="s">
        <v>13</v>
      </c>
      <c r="C8" s="27" t="str">
        <f>VLOOKUP(B8,'Customer Information'!$A$4:$P$11,2,FALSE)</f>
        <v>Doctor</v>
      </c>
      <c r="D8" s="27" t="str">
        <f>VLOOKUP(B8,'Customer Information'!$A$4:$P$11,3,FALSE)</f>
        <v>Tony</v>
      </c>
      <c r="E8" s="27" t="str">
        <f>VLOOKUP(B8,'Customer Information'!$A$4:$P$11,4,FALSE)</f>
        <v>Blair</v>
      </c>
      <c r="F8" s="27" t="str">
        <f>VLOOKUP(B8,'Customer Information'!$A$4:$P$11,5,FALSE)</f>
        <v>iraq@gov.com</v>
      </c>
      <c r="G8" s="27" t="str">
        <f>VLOOKUP(B8,'Customer Information'!$A$4:$P$11,6,FALSE)</f>
        <v>87864 345682</v>
      </c>
      <c r="H8" s="27" t="str">
        <f>VLOOKUP(B8,'Customer Information'!$A$4:$P$11,7,FALSE)</f>
        <v>Hampshire Row</v>
      </c>
      <c r="I8" s="27" t="str">
        <f>VLOOKUP(B8,'Customer Information'!$A$4:$P$11,8,FALSE)</f>
        <v>Reading</v>
      </c>
      <c r="J8" s="27" t="str">
        <f>VLOOKUP(B8,'Customer Information'!$A$4:$P$11,9,FALSE)</f>
        <v xml:space="preserve"> Train Station</v>
      </c>
      <c r="K8" s="27" t="str">
        <f>VLOOKUP(B8,'Customer Information'!$A$4:$P$11,10,FALSE)</f>
        <v>England</v>
      </c>
      <c r="L8" s="27" t="str">
        <f>VLOOKUP(B8,'Customer Information'!$A$4:$P$11,11,FALSE)</f>
        <v>SY7 8EE</v>
      </c>
      <c r="M8" s="28" t="s">
        <v>63</v>
      </c>
      <c r="N8" s="27" t="str">
        <f>VLOOKUP(M8,'Room Information'!$A$4:$D$11,2,FALSE)</f>
        <v>Twin</v>
      </c>
      <c r="O8" s="30">
        <f>VLOOKUP(M8,'Room Information'!$A$4:$D$11,3,FALSE)</f>
        <v>10</v>
      </c>
      <c r="P8" s="27" t="str">
        <f>VLOOKUP(M8,'Room Information'!$A$4:$D$11,4,FALSE)</f>
        <v>Not available</v>
      </c>
      <c r="Q8" s="31">
        <v>41356</v>
      </c>
      <c r="R8" s="27" t="str">
        <f t="shared" si="0"/>
        <v>7 Days</v>
      </c>
      <c r="S8" s="31">
        <v>41363</v>
      </c>
      <c r="T8" s="31">
        <v>41374</v>
      </c>
      <c r="U8" s="5">
        <f t="shared" si="1"/>
        <v>11</v>
      </c>
      <c r="V8" s="28" t="s">
        <v>118</v>
      </c>
      <c r="W8" s="5" t="str">
        <f t="shared" si="2"/>
        <v>£5.00</v>
      </c>
      <c r="X8" s="28" t="s">
        <v>82</v>
      </c>
      <c r="Y8" s="5" t="str">
        <f t="shared" si="3"/>
        <v>£5.00</v>
      </c>
      <c r="Z8" s="28" t="s">
        <v>85</v>
      </c>
      <c r="AA8" s="18" t="str">
        <f t="shared" si="4"/>
        <v>£3.00</v>
      </c>
      <c r="AB8" s="28" t="s">
        <v>109</v>
      </c>
      <c r="AC8" s="5" t="str">
        <f t="shared" si="5"/>
        <v>£10.00</v>
      </c>
      <c r="AD8" s="18">
        <f t="shared" si="6"/>
        <v>110</v>
      </c>
      <c r="AE8" s="6">
        <f t="shared" si="7"/>
        <v>133</v>
      </c>
    </row>
    <row r="9" spans="1:31" x14ac:dyDescent="0.25">
      <c r="A9" s="27" t="s">
        <v>99</v>
      </c>
      <c r="B9" s="28" t="s">
        <v>14</v>
      </c>
      <c r="C9" s="27" t="str">
        <f>VLOOKUP(B9,'Customer Information'!$A$4:$P$11,2,FALSE)</f>
        <v>Ms</v>
      </c>
      <c r="D9" s="27" t="str">
        <f>VLOOKUP(B9,'Customer Information'!$A$4:$P$11,3,FALSE)</f>
        <v>Samantha</v>
      </c>
      <c r="E9" s="27" t="str">
        <f>VLOOKUP(B9,'Customer Information'!$A$4:$P$11,4,FALSE)</f>
        <v>Blair</v>
      </c>
      <c r="F9" s="27" t="str">
        <f>VLOOKUP(B9,'Customer Information'!$A$4:$P$11,5,FALSE)</f>
        <v>foodie@gmail.com</v>
      </c>
      <c r="G9" s="27" t="str">
        <f>VLOOKUP(B9,'Customer Information'!$A$4:$P$11,6,FALSE)</f>
        <v>87864 345683</v>
      </c>
      <c r="H9" s="27" t="str">
        <f>VLOOKUP(B9,'Customer Information'!$A$4:$P$11,7,FALSE)</f>
        <v>85 Afghan Lane</v>
      </c>
      <c r="I9" s="27" t="str">
        <f>VLOOKUP(B9,'Customer Information'!$A$4:$P$11,8,FALSE)</f>
        <v>London</v>
      </c>
      <c r="J9" s="27" t="str">
        <f>VLOOKUP(B9,'Customer Information'!$A$4:$P$11,9,FALSE)</f>
        <v>Hampshire</v>
      </c>
      <c r="K9" s="27" t="str">
        <f>VLOOKUP(B9,'Customer Information'!$A$4:$P$11,10,FALSE)</f>
        <v>England</v>
      </c>
      <c r="L9" s="27" t="str">
        <f>VLOOKUP(B9,'Customer Information'!$A$4:$P$11,11,FALSE)</f>
        <v>SY7 8EE</v>
      </c>
      <c r="M9" s="28" t="s">
        <v>64</v>
      </c>
      <c r="N9" s="27" t="str">
        <f>VLOOKUP(M9,'Room Information'!$A$4:$D$11,2,FALSE)</f>
        <v>Double</v>
      </c>
      <c r="O9" s="30">
        <f>VLOOKUP(M9,'Room Information'!$A$4:$D$11,3,FALSE)</f>
        <v>10</v>
      </c>
      <c r="P9" s="27" t="str">
        <f>VLOOKUP(M9,'Room Information'!$A$4:$D$11,4,FALSE)</f>
        <v>Available</v>
      </c>
      <c r="Q9" s="31">
        <v>41401</v>
      </c>
      <c r="R9" s="27" t="str">
        <f t="shared" si="0"/>
        <v>34 Days</v>
      </c>
      <c r="S9" s="31">
        <v>41435</v>
      </c>
      <c r="T9" s="31">
        <v>41437</v>
      </c>
      <c r="U9" s="5">
        <f t="shared" si="1"/>
        <v>2</v>
      </c>
      <c r="V9" s="28" t="s">
        <v>120</v>
      </c>
      <c r="W9" s="5" t="str">
        <f t="shared" si="2"/>
        <v>£6.50</v>
      </c>
      <c r="X9" s="28" t="s">
        <v>82</v>
      </c>
      <c r="Y9" s="5" t="str">
        <f t="shared" si="3"/>
        <v>£5.00</v>
      </c>
      <c r="Z9" s="28" t="s">
        <v>86</v>
      </c>
      <c r="AA9" s="18" t="str">
        <f t="shared" si="4"/>
        <v>£10.00</v>
      </c>
      <c r="AB9" s="28" t="s">
        <v>105</v>
      </c>
      <c r="AC9" s="5" t="str">
        <f t="shared" si="5"/>
        <v>£3.00</v>
      </c>
      <c r="AD9" s="18">
        <f t="shared" si="6"/>
        <v>20</v>
      </c>
      <c r="AE9" s="6">
        <f t="shared" si="7"/>
        <v>44.5</v>
      </c>
    </row>
    <row r="10" spans="1:31" x14ac:dyDescent="0.25">
      <c r="A10" s="27" t="s">
        <v>100</v>
      </c>
      <c r="B10" s="28" t="s">
        <v>15</v>
      </c>
      <c r="C10" s="27" t="str">
        <f>VLOOKUP(B10,'Customer Information'!$A$4:$P$11,2,FALSE)</f>
        <v>Doctor</v>
      </c>
      <c r="D10" s="27" t="str">
        <f>VLOOKUP(B10,'Customer Information'!$A$4:$P$11,3,FALSE)</f>
        <v>Paul</v>
      </c>
      <c r="E10" s="27" t="str">
        <f>VLOOKUP(B10,'Customer Information'!$A$4:$P$11,4,FALSE)</f>
        <v>Jacobs</v>
      </c>
      <c r="F10" s="27" t="str">
        <f>VLOOKUP(B10,'Customer Information'!$A$4:$P$11,5,FALSE)</f>
        <v>iraq@gov.com</v>
      </c>
      <c r="G10" s="27" t="str">
        <f>VLOOKUP(B10,'Customer Information'!$A$4:$P$11,6,FALSE)</f>
        <v>87864 345684</v>
      </c>
      <c r="H10" s="27" t="str">
        <f>VLOOKUP(B10,'Customer Information'!$A$4:$P$11,7,FALSE)</f>
        <v>32 Chip Avenue</v>
      </c>
      <c r="I10" s="27" t="str">
        <f>VLOOKUP(B10,'Customer Information'!$A$4:$P$11,8,FALSE)</f>
        <v>London</v>
      </c>
      <c r="J10" s="27" t="str">
        <f>VLOOKUP(B10,'Customer Information'!$A$4:$P$11,9,FALSE)</f>
        <v>Hampshire</v>
      </c>
      <c r="K10" s="27" t="str">
        <f>VLOOKUP(B10,'Customer Information'!$A$4:$P$11,10,FALSE)</f>
        <v>England</v>
      </c>
      <c r="L10" s="27" t="str">
        <f>VLOOKUP(B10,'Customer Information'!$A$4:$P$11,11,FALSE)</f>
        <v>SY7 8EE</v>
      </c>
      <c r="M10" s="28" t="s">
        <v>65</v>
      </c>
      <c r="N10" s="27" t="str">
        <f>VLOOKUP(M10,'Room Information'!$A$4:$D$11,2,FALSE)</f>
        <v>Twin</v>
      </c>
      <c r="O10" s="30">
        <f>VLOOKUP(M10,'Room Information'!$A$4:$D$11,3,FALSE)</f>
        <v>10</v>
      </c>
      <c r="P10" s="27" t="str">
        <f>VLOOKUP(M10,'Room Information'!$A$4:$D$11,4,FALSE)</f>
        <v>Available</v>
      </c>
      <c r="Q10" s="31">
        <v>41437</v>
      </c>
      <c r="R10" s="27" t="str">
        <f t="shared" si="0"/>
        <v>4 Days</v>
      </c>
      <c r="S10" s="31">
        <v>41441</v>
      </c>
      <c r="T10" s="31">
        <v>41446</v>
      </c>
      <c r="U10" s="5">
        <f t="shared" si="1"/>
        <v>5</v>
      </c>
      <c r="V10" s="28" t="s">
        <v>119</v>
      </c>
      <c r="W10" s="5" t="str">
        <f t="shared" si="2"/>
        <v>£2.50</v>
      </c>
      <c r="X10" s="28" t="s">
        <v>81</v>
      </c>
      <c r="Y10" s="5" t="str">
        <f t="shared" si="3"/>
        <v>£10.00</v>
      </c>
      <c r="Z10" s="28" t="s">
        <v>108</v>
      </c>
      <c r="AA10" s="18" t="str">
        <f t="shared" si="4"/>
        <v>£5.00</v>
      </c>
      <c r="AB10" s="28" t="s">
        <v>104</v>
      </c>
      <c r="AC10" s="5" t="str">
        <f t="shared" si="5"/>
        <v>£1.50</v>
      </c>
      <c r="AD10" s="18">
        <f t="shared" si="6"/>
        <v>50</v>
      </c>
      <c r="AE10" s="6">
        <f t="shared" si="7"/>
        <v>69</v>
      </c>
    </row>
    <row r="11" spans="1:31" x14ac:dyDescent="0.25">
      <c r="A11" s="27" t="s">
        <v>101</v>
      </c>
      <c r="B11" s="28" t="s">
        <v>16</v>
      </c>
      <c r="C11" s="27" t="str">
        <f>VLOOKUP(B11,'Customer Information'!$A$4:$P$11,2,FALSE)</f>
        <v>Mrs</v>
      </c>
      <c r="D11" s="27" t="str">
        <f>VLOOKUP(B11,'Customer Information'!$A$4:$P$11,3,FALSE)</f>
        <v>Paulina</v>
      </c>
      <c r="E11" s="27" t="str">
        <f>VLOOKUP(B11,'Customer Information'!$A$4:$P$11,4,FALSE)</f>
        <v>Jebb</v>
      </c>
      <c r="F11" s="27" t="str">
        <f>VLOOKUP(B11,'Customer Information'!$A$4:$P$11,5,FALSE)</f>
        <v>foodie@gmail.com</v>
      </c>
      <c r="G11" s="27" t="str">
        <f>VLOOKUP(B11,'Customer Information'!$A$4:$P$11,6,FALSE)</f>
        <v>87864 345685</v>
      </c>
      <c r="H11" s="27" t="str">
        <f>VLOOKUP(B11,'Customer Information'!$A$4:$P$11,7,FALSE)</f>
        <v>Hampshire Row</v>
      </c>
      <c r="I11" s="27" t="str">
        <f>VLOOKUP(B11,'Customer Information'!$A$4:$P$11,8,FALSE)</f>
        <v>London</v>
      </c>
      <c r="J11" s="27" t="str">
        <f>VLOOKUP(B11,'Customer Information'!$A$4:$P$11,9,FALSE)</f>
        <v>Hampshire</v>
      </c>
      <c r="K11" s="27" t="str">
        <f>VLOOKUP(B11,'Customer Information'!$A$4:$P$11,10,FALSE)</f>
        <v>England</v>
      </c>
      <c r="L11" s="27" t="str">
        <f>VLOOKUP(B11,'Customer Information'!$A$4:$P$11,11,FALSE)</f>
        <v>SY7 8EE</v>
      </c>
      <c r="M11" s="28" t="s">
        <v>66</v>
      </c>
      <c r="N11" s="27" t="str">
        <f>VLOOKUP(M11,'Room Information'!$A$4:$D$11,2,FALSE)</f>
        <v>Double</v>
      </c>
      <c r="O11" s="30">
        <f>VLOOKUP(M11,'Room Information'!$A$4:$D$11,3,FALSE)</f>
        <v>10</v>
      </c>
      <c r="P11" s="27" t="str">
        <f>VLOOKUP(M11,'Room Information'!$A$4:$D$11,4,FALSE)</f>
        <v>Not Available</v>
      </c>
      <c r="Q11" s="31">
        <v>41477</v>
      </c>
      <c r="R11" s="27" t="str">
        <f t="shared" si="0"/>
        <v>21 Days</v>
      </c>
      <c r="S11" s="31">
        <v>41498</v>
      </c>
      <c r="T11" s="31">
        <v>41500</v>
      </c>
      <c r="U11" s="5">
        <f t="shared" si="1"/>
        <v>2</v>
      </c>
      <c r="V11" s="28" t="s">
        <v>119</v>
      </c>
      <c r="W11" s="5" t="str">
        <f t="shared" si="2"/>
        <v>£2.50</v>
      </c>
      <c r="X11" s="28" t="s">
        <v>83</v>
      </c>
      <c r="Y11" s="5" t="str">
        <f t="shared" si="3"/>
        <v>£3.00</v>
      </c>
      <c r="Z11" s="28" t="s">
        <v>86</v>
      </c>
      <c r="AA11" s="18" t="str">
        <f t="shared" si="4"/>
        <v>£10.00</v>
      </c>
      <c r="AB11" s="28" t="s">
        <v>109</v>
      </c>
      <c r="AC11" s="5" t="str">
        <f t="shared" si="5"/>
        <v>£10.00</v>
      </c>
      <c r="AD11" s="18">
        <f t="shared" si="6"/>
        <v>20</v>
      </c>
      <c r="AE11" s="6">
        <f t="shared" si="7"/>
        <v>45.5</v>
      </c>
    </row>
    <row r="12" spans="1:31" x14ac:dyDescent="0.25">
      <c r="A12" s="12"/>
      <c r="B12" s="12"/>
      <c r="C12" s="12"/>
      <c r="D12" s="12"/>
      <c r="E12" s="12"/>
      <c r="F12" s="12"/>
      <c r="G12" s="12"/>
      <c r="H12" s="12"/>
      <c r="I12" s="12"/>
      <c r="J12" s="12"/>
      <c r="K12" s="12"/>
      <c r="L12" s="12"/>
      <c r="M12" s="12"/>
      <c r="N12" s="12"/>
      <c r="O12" s="13"/>
      <c r="P12" s="12"/>
      <c r="Q12" s="14"/>
      <c r="R12" s="12"/>
      <c r="S12" s="14"/>
      <c r="T12" s="14"/>
      <c r="U12" s="12"/>
      <c r="V12" s="12"/>
      <c r="W12" s="12"/>
      <c r="X12" s="15"/>
      <c r="Y12" s="15"/>
      <c r="Z12" s="12"/>
      <c r="AA12" s="12"/>
      <c r="AB12" s="12"/>
      <c r="AC12" s="12"/>
      <c r="AD12" s="12"/>
      <c r="AE12" s="41">
        <f>SUM(AE4:AE11)/8</f>
        <v>101.6875</v>
      </c>
    </row>
    <row r="13" spans="1:31" x14ac:dyDescent="0.25">
      <c r="A13" s="12"/>
      <c r="B13" s="12"/>
      <c r="C13" s="12"/>
      <c r="D13" s="12"/>
      <c r="E13" s="12"/>
      <c r="F13" s="12"/>
      <c r="G13" s="12"/>
      <c r="H13" s="12"/>
      <c r="I13" s="12"/>
      <c r="J13" s="12"/>
      <c r="K13" s="12"/>
      <c r="L13" s="12"/>
      <c r="M13" s="12"/>
      <c r="N13" s="12"/>
      <c r="O13" s="13"/>
      <c r="P13" s="12"/>
      <c r="Q13" s="14"/>
      <c r="R13" s="12"/>
      <c r="S13" s="14"/>
      <c r="T13" s="14"/>
      <c r="U13" s="12"/>
      <c r="V13" s="12"/>
      <c r="W13" s="12"/>
      <c r="X13" s="15"/>
      <c r="Y13" s="15"/>
      <c r="Z13" s="12"/>
      <c r="AA13" s="12"/>
      <c r="AB13" s="12"/>
      <c r="AC13" s="12"/>
      <c r="AD13" s="12"/>
    </row>
    <row r="14" spans="1:31" x14ac:dyDescent="0.25">
      <c r="A14" s="12"/>
      <c r="B14" s="12"/>
      <c r="C14" s="12"/>
      <c r="D14" s="12"/>
      <c r="E14" s="12"/>
      <c r="F14" s="12"/>
      <c r="G14" s="12"/>
      <c r="H14" s="12"/>
      <c r="I14" s="12"/>
      <c r="J14" s="12"/>
      <c r="K14" s="12"/>
      <c r="L14" s="12"/>
      <c r="M14" s="12"/>
      <c r="N14" s="12"/>
      <c r="O14" s="13"/>
      <c r="P14" s="12"/>
      <c r="Q14" s="14"/>
      <c r="R14" s="12"/>
      <c r="S14" s="14"/>
      <c r="T14" s="14"/>
      <c r="U14" s="12"/>
      <c r="V14" s="12"/>
      <c r="W14" s="12"/>
      <c r="X14" s="15"/>
      <c r="Y14" s="15"/>
      <c r="Z14" s="12"/>
      <c r="AA14" s="12"/>
      <c r="AB14" s="12"/>
      <c r="AC14" s="12"/>
      <c r="AD14" s="12"/>
    </row>
    <row r="15" spans="1:31" x14ac:dyDescent="0.25">
      <c r="A15" s="12"/>
      <c r="B15" s="12"/>
      <c r="C15" s="12"/>
      <c r="D15" s="12"/>
      <c r="E15" s="12"/>
      <c r="F15" s="12"/>
      <c r="G15" s="12"/>
      <c r="H15" s="12"/>
      <c r="I15" s="12"/>
      <c r="J15" s="12"/>
      <c r="K15" s="12"/>
      <c r="L15" s="12"/>
      <c r="M15" s="12"/>
      <c r="N15" s="12"/>
      <c r="O15" s="13"/>
      <c r="P15" s="12"/>
      <c r="Q15" s="14"/>
      <c r="R15" s="12"/>
      <c r="S15" s="14"/>
      <c r="T15" s="14"/>
      <c r="U15" s="12"/>
      <c r="V15" s="12"/>
      <c r="W15" s="12"/>
      <c r="X15" s="15"/>
      <c r="Y15" s="15"/>
      <c r="Z15" s="12"/>
      <c r="AA15" s="12"/>
      <c r="AB15" s="12"/>
      <c r="AC15" s="12"/>
      <c r="AD15" s="12"/>
    </row>
    <row r="16" spans="1:31" x14ac:dyDescent="0.25">
      <c r="A16" s="12"/>
      <c r="B16" s="12"/>
      <c r="C16" s="12"/>
      <c r="D16" s="12"/>
      <c r="E16" s="12"/>
      <c r="F16" s="12"/>
      <c r="G16" s="12"/>
      <c r="H16" s="12"/>
      <c r="J16" s="12"/>
      <c r="K16" s="42"/>
      <c r="L16" s="12"/>
      <c r="M16" s="12"/>
      <c r="N16" s="12"/>
      <c r="O16" s="13"/>
      <c r="P16" s="12"/>
      <c r="Q16" s="14"/>
      <c r="R16" s="12"/>
      <c r="S16" s="14"/>
      <c r="T16" s="14"/>
      <c r="U16" s="12"/>
      <c r="V16" s="12"/>
      <c r="W16" s="12"/>
      <c r="X16" s="15"/>
      <c r="Y16" s="15"/>
      <c r="Z16" s="12"/>
      <c r="AA16" s="12"/>
      <c r="AB16" s="12"/>
      <c r="AC16" s="12"/>
      <c r="AD16" s="12"/>
    </row>
    <row r="17" spans="1:30" x14ac:dyDescent="0.25">
      <c r="A17" s="12"/>
      <c r="B17" s="12"/>
      <c r="C17" s="12"/>
      <c r="D17" s="12"/>
      <c r="E17" s="12"/>
      <c r="F17" s="12"/>
      <c r="G17" s="12"/>
      <c r="H17" s="12"/>
      <c r="I17" s="42"/>
      <c r="J17" s="12"/>
      <c r="K17" s="12"/>
      <c r="L17" s="12"/>
      <c r="M17" s="12"/>
      <c r="N17" s="12"/>
      <c r="O17" s="13"/>
      <c r="P17" s="12"/>
      <c r="Q17" s="14"/>
      <c r="R17" s="12"/>
      <c r="S17" s="14"/>
      <c r="T17" s="14"/>
      <c r="U17" s="12"/>
      <c r="V17" s="12"/>
      <c r="W17" s="12"/>
      <c r="X17" s="15"/>
      <c r="Y17" s="15"/>
      <c r="Z17" s="12"/>
      <c r="AA17" s="12"/>
      <c r="AB17" s="12"/>
      <c r="AC17" s="12"/>
      <c r="AD17" s="12"/>
    </row>
    <row r="18" spans="1:30" x14ac:dyDescent="0.25">
      <c r="A18" s="12"/>
      <c r="B18" s="12"/>
      <c r="C18" s="12"/>
      <c r="D18" s="12"/>
      <c r="E18" s="12"/>
      <c r="F18" s="12"/>
      <c r="G18" s="12"/>
      <c r="H18" s="12"/>
      <c r="I18" s="12"/>
      <c r="J18" s="12"/>
      <c r="K18" s="12"/>
      <c r="L18" s="12"/>
      <c r="M18" s="12"/>
      <c r="N18" s="12"/>
      <c r="O18" s="13"/>
      <c r="P18" s="12"/>
      <c r="Q18" s="14"/>
      <c r="R18" s="12"/>
      <c r="S18" s="14"/>
      <c r="T18" s="14"/>
      <c r="U18" s="12"/>
      <c r="V18" s="12"/>
      <c r="W18" s="12"/>
      <c r="X18" s="15"/>
      <c r="Y18" s="15"/>
      <c r="Z18" s="12"/>
      <c r="AA18" s="12"/>
      <c r="AB18" s="12"/>
      <c r="AC18" s="12"/>
      <c r="AD18" s="12"/>
    </row>
    <row r="19" spans="1:30" x14ac:dyDescent="0.25">
      <c r="A19" s="12"/>
      <c r="B19" s="12"/>
      <c r="C19" s="12"/>
      <c r="D19" s="12"/>
      <c r="E19" s="12"/>
      <c r="F19" s="12"/>
      <c r="G19" s="12"/>
      <c r="H19" s="12"/>
      <c r="I19" s="12"/>
      <c r="J19" s="12"/>
      <c r="K19" s="12"/>
      <c r="L19" s="12"/>
      <c r="M19" s="12"/>
      <c r="N19" s="12"/>
      <c r="O19" s="13"/>
      <c r="P19" s="12"/>
      <c r="Q19" s="14"/>
      <c r="R19" s="12"/>
      <c r="S19" s="14"/>
      <c r="T19" s="14"/>
      <c r="U19" s="12"/>
      <c r="V19" s="12"/>
      <c r="W19" s="12"/>
      <c r="X19" s="15"/>
      <c r="Y19" s="15"/>
      <c r="Z19" s="12"/>
      <c r="AA19" s="12"/>
      <c r="AB19" s="12"/>
      <c r="AC19" s="12"/>
      <c r="AD19" s="12"/>
    </row>
    <row r="22" spans="1:30" x14ac:dyDescent="0.25">
      <c r="S22" s="7" t="str">
        <f>IF(LEN(U4)&gt;0,"Room full!","Room free!")</f>
        <v>Room full!</v>
      </c>
    </row>
    <row r="31" spans="1:30" x14ac:dyDescent="0.25">
      <c r="T31" s="17"/>
    </row>
  </sheetData>
  <sortState ref="C4:L11">
    <sortCondition ref="F4:F11"/>
  </sortState>
  <conditionalFormatting sqref="T4">
    <cfRule type="cellIs" dxfId="11" priority="8" operator="lessThan">
      <formula>$S$4</formula>
    </cfRule>
  </conditionalFormatting>
  <conditionalFormatting sqref="T5">
    <cfRule type="cellIs" dxfId="10" priority="7" operator="lessThan">
      <formula>$S$5</formula>
    </cfRule>
  </conditionalFormatting>
  <conditionalFormatting sqref="T6">
    <cfRule type="cellIs" dxfId="9" priority="6" operator="lessThan">
      <formula>$S$6</formula>
    </cfRule>
  </conditionalFormatting>
  <conditionalFormatting sqref="T7">
    <cfRule type="cellIs" dxfId="8" priority="5" operator="lessThan">
      <formula>$S$7</formula>
    </cfRule>
  </conditionalFormatting>
  <conditionalFormatting sqref="T8">
    <cfRule type="cellIs" dxfId="7" priority="4" operator="lessThan">
      <formula>$S$8</formula>
    </cfRule>
  </conditionalFormatting>
  <conditionalFormatting sqref="T9">
    <cfRule type="cellIs" dxfId="6" priority="3" operator="lessThan">
      <formula>$S$9</formula>
    </cfRule>
  </conditionalFormatting>
  <conditionalFormatting sqref="T10">
    <cfRule type="cellIs" dxfId="5" priority="2" operator="lessThan">
      <formula>$S$10</formula>
    </cfRule>
  </conditionalFormatting>
  <conditionalFormatting sqref="T11">
    <cfRule type="cellIs" dxfId="4" priority="1" operator="lessThan">
      <formula>$S$11</formula>
    </cfRule>
  </conditionalFormatting>
  <dataValidations count="17">
    <dataValidation type="date" allowBlank="1" showInputMessage="1" showErrorMessage="1" errorTitle="Invalid Input" error="You must enter a valid date." sqref="S4:S19">
      <formula1>36526</formula1>
      <formula2>402114</formula2>
    </dataValidation>
    <dataValidation allowBlank="1" showInputMessage="1" showErrorMessage="1" errorTitle="Invalid Input" error="You must enter a number between 1 and 365." sqref="U4:U19 V18:W19"/>
    <dataValidation type="date" allowBlank="1" showInputMessage="1" showErrorMessage="1" errorTitle="Invalid Input" error="You must enter a valid date." sqref="T12:T19">
      <formula1>41275</formula1>
      <formula2>42350</formula2>
    </dataValidation>
    <dataValidation allowBlank="1" showInputMessage="1" showErrorMessage="1" errorTitle="Invalid Input" error="You must input a valid room ID." sqref="N4:N19"/>
    <dataValidation type="list" allowBlank="1" showInputMessage="1" errorTitle="Invalid Input" error="You must select the type of cleaning required." sqref="X4:X11 Y18:Y19">
      <formula1>"Full Service,Room Only,Clothes Only"</formula1>
    </dataValidation>
    <dataValidation type="list" allowBlank="1" showInputMessage="1" showErrorMessage="1" sqref="Z18:AA19">
      <formula1>"All hours,Mornings,Afternoons,Evening"</formula1>
    </dataValidation>
    <dataValidation type="list" allowBlank="1" showInputMessage="1" showErrorMessage="1" errorTitle="Invalid Input" error="You must select the amount of time required." sqref="AB18:AD19">
      <formula1>"10 Minutes,20 Minutes,30 Minutes,1 Hour Plus"</formula1>
    </dataValidation>
    <dataValidation allowBlank="1" showInputMessage="1" showErrorMessage="1" errorTitle="Invalid Input" error="You must enter a valid date." sqref="T4:T11"/>
    <dataValidation allowBlank="1" showInputMessage="1" errorTitle="Invalid Input" error="You must select the type of cleaning required." sqref="Y4:Y11 X18:X19"/>
    <dataValidation allowBlank="1" showInputMessage="1" showErrorMessage="1" promptTitle="Cleaning charges" prompt="This is how much the customer is charged for their cleaning. It changes depending on the services required." sqref="Y3"/>
    <dataValidation type="list" allowBlank="1" showInputMessage="1" showErrorMessage="1" sqref="Z4:Z11">
      <formula1>"All hours,Mornings,Afternoons,Evenings"</formula1>
    </dataValidation>
    <dataValidation allowBlank="1" showInputMessage="1" showErrorMessage="1" errorTitle="Invalid Input" error="You must select the amount of time required." sqref="AC4:AD11"/>
    <dataValidation type="list" allowBlank="1" showInputMessage="1" showErrorMessage="1" errorTitle="Invalid Input" error="You must select the amount of time required." sqref="AB4:AB11">
      <formula1>"10 Minutes,20 Minutes,30 Minutes,All Day"</formula1>
    </dataValidation>
    <dataValidation allowBlank="1" showInputMessage="1" showErrorMessage="1" promptTitle="Cleaning Services" prompt="This is the cleaning option the customer has opted for." sqref="X3"/>
    <dataValidation allowBlank="1" showInputMessage="1" showErrorMessage="1" promptTitle="Total Room Cost" prompt="The total cost of the room is worked out by multiplying the initial room cost by the number of nights stayed." sqref="AD3"/>
    <dataValidation type="list" allowBlank="1" showInputMessage="1" showErrorMessage="1" errorTitle="Invalid Input" error="You must choose one of the items from the list." sqref="V4:V11">
      <formula1>"Breakfast,Lunch,Evening,All Meals,No Meals"</formula1>
    </dataValidation>
    <dataValidation allowBlank="1" showInputMessage="1" showErrorMessage="1" errorTitle="Invalid Input" error="You must choose one of the items from the list." sqref="W4:W11"/>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Input" error="You must input a valid room ID.">
          <x14:formula1>
            <xm:f>'Room Information'!$A$4:$A$11</xm:f>
          </x14:formula1>
          <xm:sqref>M4:M19</xm:sqref>
        </x14:dataValidation>
        <x14:dataValidation type="list" allowBlank="1" showInputMessage="1" showErrorMessage="1">
          <x14:formula1>
            <xm:f>'Customer Information'!$A$4:$A$11</xm:f>
          </x14:formula1>
          <xm:sqref>B4:B19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tint="0.39997558519241921"/>
  </sheetPr>
  <dimension ref="A1:V11"/>
  <sheetViews>
    <sheetView showGridLines="0" workbookViewId="0">
      <selection activeCell="D4" sqref="D4"/>
    </sheetView>
  </sheetViews>
  <sheetFormatPr defaultRowHeight="15" x14ac:dyDescent="0.25"/>
  <cols>
    <col min="1" max="1" width="9.85546875" customWidth="1"/>
    <col min="2" max="3" width="11.42578125" customWidth="1"/>
    <col min="4" max="4" width="18.140625" customWidth="1"/>
    <col min="6" max="6" width="15.5703125" customWidth="1"/>
    <col min="21" max="21" width="15.42578125" customWidth="1"/>
  </cols>
  <sheetData>
    <row r="1" spans="1:22" ht="93" customHeight="1" x14ac:dyDescent="0.25">
      <c r="A1" s="1"/>
      <c r="B1" s="1"/>
      <c r="C1" s="1"/>
      <c r="D1" s="1"/>
      <c r="E1" s="1"/>
      <c r="F1" s="1"/>
      <c r="G1" s="1"/>
      <c r="H1" s="1"/>
      <c r="I1" s="1"/>
      <c r="J1" s="1"/>
      <c r="K1" s="1"/>
      <c r="L1" s="1"/>
      <c r="M1" s="1"/>
      <c r="N1" s="1"/>
      <c r="O1" s="1"/>
      <c r="P1" s="1"/>
      <c r="Q1" s="1"/>
      <c r="R1" s="1"/>
      <c r="S1" s="1"/>
      <c r="T1" s="1"/>
      <c r="U1" s="40">
        <f>COUNTIF($D$4:$D$11,"Available")</f>
        <v>3</v>
      </c>
      <c r="V1" s="40">
        <f>COUNTIF($D$4:$D$11,"Not available")</f>
        <v>5</v>
      </c>
    </row>
    <row r="2" spans="1:22" x14ac:dyDescent="0.25">
      <c r="A2" s="2"/>
      <c r="B2" s="2"/>
      <c r="C2" s="2"/>
      <c r="D2" s="2"/>
      <c r="E2" s="2"/>
      <c r="F2" s="2"/>
      <c r="G2" s="2"/>
      <c r="H2" s="2"/>
      <c r="I2" s="2"/>
      <c r="J2" s="2"/>
      <c r="K2" s="2"/>
      <c r="L2" s="2"/>
      <c r="M2" s="2"/>
      <c r="N2" s="2"/>
      <c r="O2" s="2"/>
      <c r="P2" s="2"/>
      <c r="Q2" s="2"/>
      <c r="R2" s="2"/>
      <c r="S2" s="2"/>
      <c r="T2" s="2"/>
    </row>
    <row r="3" spans="1:22" ht="20.25" customHeight="1" x14ac:dyDescent="0.25">
      <c r="A3" s="25" t="s">
        <v>58</v>
      </c>
      <c r="B3" s="25" t="s">
        <v>67</v>
      </c>
      <c r="C3" s="25" t="s">
        <v>70</v>
      </c>
      <c r="D3" s="25" t="s">
        <v>71</v>
      </c>
    </row>
    <row r="4" spans="1:22" x14ac:dyDescent="0.25">
      <c r="A4" s="5" t="s">
        <v>59</v>
      </c>
      <c r="B4" s="28" t="s">
        <v>69</v>
      </c>
      <c r="C4" s="46">
        <v>10</v>
      </c>
      <c r="D4" s="33" t="s">
        <v>167</v>
      </c>
    </row>
    <row r="5" spans="1:22" x14ac:dyDescent="0.25">
      <c r="A5" s="5" t="s">
        <v>60</v>
      </c>
      <c r="B5" s="28" t="s">
        <v>68</v>
      </c>
      <c r="C5" s="46">
        <v>10</v>
      </c>
      <c r="D5" s="33" t="s">
        <v>167</v>
      </c>
    </row>
    <row r="6" spans="1:22" x14ac:dyDescent="0.25">
      <c r="A6" s="5" t="s">
        <v>61</v>
      </c>
      <c r="B6" s="28" t="s">
        <v>69</v>
      </c>
      <c r="C6" s="46">
        <v>10</v>
      </c>
      <c r="D6" s="33" t="s">
        <v>167</v>
      </c>
    </row>
    <row r="7" spans="1:22" x14ac:dyDescent="0.25">
      <c r="A7" s="5" t="s">
        <v>62</v>
      </c>
      <c r="B7" s="28" t="s">
        <v>68</v>
      </c>
      <c r="C7" s="46">
        <v>10</v>
      </c>
      <c r="D7" s="33" t="s">
        <v>106</v>
      </c>
    </row>
    <row r="8" spans="1:22" x14ac:dyDescent="0.25">
      <c r="A8" s="5" t="s">
        <v>63</v>
      </c>
      <c r="B8" s="28" t="s">
        <v>69</v>
      </c>
      <c r="C8" s="46">
        <v>10</v>
      </c>
      <c r="D8" s="33" t="s">
        <v>107</v>
      </c>
    </row>
    <row r="9" spans="1:22" x14ac:dyDescent="0.25">
      <c r="A9" s="5" t="s">
        <v>64</v>
      </c>
      <c r="B9" s="28" t="s">
        <v>68</v>
      </c>
      <c r="C9" s="46">
        <v>10</v>
      </c>
      <c r="D9" s="33" t="s">
        <v>106</v>
      </c>
    </row>
    <row r="10" spans="1:22" x14ac:dyDescent="0.25">
      <c r="A10" s="5" t="s">
        <v>65</v>
      </c>
      <c r="B10" s="28" t="s">
        <v>69</v>
      </c>
      <c r="C10" s="46">
        <v>10</v>
      </c>
      <c r="D10" s="33" t="s">
        <v>106</v>
      </c>
    </row>
    <row r="11" spans="1:22" x14ac:dyDescent="0.25">
      <c r="A11" s="5" t="s">
        <v>66</v>
      </c>
      <c r="B11" s="28" t="s">
        <v>68</v>
      </c>
      <c r="C11" s="46">
        <v>10</v>
      </c>
      <c r="D11" s="33" t="s">
        <v>167</v>
      </c>
    </row>
  </sheetData>
  <sheetProtection sheet="1" objects="1" scenarios="1"/>
  <conditionalFormatting sqref="D4:D11">
    <cfRule type="cellIs" dxfId="3" priority="1" operator="equal">
      <formula>"Not available"</formula>
    </cfRule>
    <cfRule type="cellIs" dxfId="2" priority="2" operator="equal">
      <formula>"Available"</formula>
    </cfRule>
    <cfRule type="cellIs" dxfId="1" priority="3" operator="equal">
      <formula>"Occupied"</formula>
    </cfRule>
    <cfRule type="cellIs" dxfId="0" priority="4" operator="equal">
      <formula>"Free"</formula>
    </cfRule>
  </conditionalFormatting>
  <dataValidations count="2">
    <dataValidation type="list" allowBlank="1" showInputMessage="1" showErrorMessage="1" errorTitle="Invalid Input" error="Only twin and double rooms are available." sqref="B4:B11">
      <formula1>"Twin,Double"</formula1>
    </dataValidation>
    <dataValidation type="list" allowBlank="1" showInputMessage="1" showErrorMessage="1" errorTitle="Invalid Input" error="Rooms must be free or occupied." sqref="D4:D11">
      <formula1>"Available,Not Available"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tint="0.39997558519241921"/>
  </sheetPr>
  <dimension ref="A1:T32"/>
  <sheetViews>
    <sheetView showGridLines="0" tabSelected="1" workbookViewId="0">
      <selection activeCell="D29" sqref="D29"/>
    </sheetView>
  </sheetViews>
  <sheetFormatPr defaultRowHeight="15" x14ac:dyDescent="0.25"/>
  <cols>
    <col min="1" max="1" width="28.140625" customWidth="1"/>
    <col min="2" max="2" width="15.7109375" customWidth="1"/>
    <col min="3" max="3" width="23.42578125" customWidth="1"/>
    <col min="4" max="4" width="24.85546875" customWidth="1"/>
    <col min="5" max="5" width="27.85546875" customWidth="1"/>
    <col min="6" max="6" width="26.5703125" customWidth="1"/>
    <col min="7" max="7" width="26" customWidth="1"/>
    <col min="8" max="8" width="25.5703125" customWidth="1"/>
    <col min="9" max="9" width="38.85546875" customWidth="1"/>
    <col min="10" max="10" width="29.28515625" customWidth="1"/>
    <col min="11" max="11" width="23.140625" customWidth="1"/>
    <col min="12" max="12" width="25.140625" customWidth="1"/>
    <col min="13" max="13" width="24.140625" customWidth="1"/>
  </cols>
  <sheetData>
    <row r="1" spans="1:20" ht="93" customHeight="1" x14ac:dyDescent="0.25">
      <c r="A1" s="1"/>
      <c r="B1" s="1"/>
      <c r="C1" s="1"/>
      <c r="D1" s="1"/>
      <c r="E1" s="1"/>
      <c r="F1" s="1"/>
      <c r="G1" s="1"/>
      <c r="H1" s="1"/>
      <c r="I1" s="1"/>
      <c r="J1" s="1"/>
      <c r="K1" s="1"/>
      <c r="L1" s="1"/>
      <c r="M1" s="1"/>
      <c r="N1" s="1"/>
      <c r="O1" s="1"/>
      <c r="P1" s="1"/>
      <c r="Q1" s="1"/>
      <c r="R1" s="1"/>
      <c r="S1" s="1"/>
      <c r="T1" s="1"/>
    </row>
    <row r="2" spans="1:20" x14ac:dyDescent="0.25">
      <c r="A2" s="2"/>
      <c r="B2" s="2"/>
      <c r="C2" s="2"/>
      <c r="D2" s="2"/>
      <c r="E2" s="2"/>
      <c r="F2" s="2"/>
      <c r="G2" s="2"/>
      <c r="H2" s="2"/>
      <c r="I2" s="2"/>
      <c r="J2" s="2"/>
      <c r="K2" s="2"/>
      <c r="L2" s="2"/>
      <c r="M2" s="2"/>
      <c r="N2" s="2"/>
      <c r="O2" s="2"/>
      <c r="P2" s="2"/>
      <c r="Q2" s="2"/>
      <c r="R2" s="2"/>
      <c r="S2" s="2"/>
      <c r="T2" s="2"/>
    </row>
    <row r="3" spans="1:20" x14ac:dyDescent="0.25">
      <c r="A3" s="52" t="s">
        <v>112</v>
      </c>
      <c r="B3" s="53"/>
      <c r="C3" s="52" t="s">
        <v>124</v>
      </c>
      <c r="D3" s="53"/>
      <c r="E3" s="55" t="s">
        <v>125</v>
      </c>
      <c r="F3" s="55"/>
      <c r="G3" s="55" t="s">
        <v>129</v>
      </c>
      <c r="H3" s="55"/>
      <c r="I3" s="54"/>
      <c r="J3" s="54"/>
      <c r="K3" s="54"/>
      <c r="L3" s="54"/>
    </row>
    <row r="4" spans="1:20" x14ac:dyDescent="0.25">
      <c r="A4" s="4" t="s">
        <v>113</v>
      </c>
      <c r="B4" s="4">
        <v>2</v>
      </c>
      <c r="C4" s="4" t="s">
        <v>128</v>
      </c>
      <c r="D4" s="34">
        <v>1.5</v>
      </c>
      <c r="E4" s="4" t="s">
        <v>128</v>
      </c>
      <c r="F4" s="34">
        <v>5.0999999999999996</v>
      </c>
      <c r="G4" s="4" t="s">
        <v>128</v>
      </c>
      <c r="H4" s="34">
        <v>6.5</v>
      </c>
      <c r="I4" s="12"/>
      <c r="J4" s="39"/>
      <c r="K4" s="15"/>
      <c r="L4" s="15"/>
    </row>
    <row r="5" spans="1:20" x14ac:dyDescent="0.25">
      <c r="A5" s="4" t="s">
        <v>114</v>
      </c>
      <c r="B5" s="32">
        <v>6.19</v>
      </c>
      <c r="C5" s="4" t="s">
        <v>126</v>
      </c>
      <c r="D5" s="4">
        <f>COUNTIF('Bookings Information'!V4:V11,"Breakfast")</f>
        <v>4</v>
      </c>
      <c r="E5" s="4" t="s">
        <v>127</v>
      </c>
      <c r="F5" s="4">
        <f>COUNTIF('Bookings Information'!V4:V11,"Lunch")</f>
        <v>2</v>
      </c>
      <c r="G5" s="4" t="s">
        <v>130</v>
      </c>
      <c r="H5" s="4">
        <f>COUNTIF('Bookings Information'!V4:V11,"Evening")</f>
        <v>1</v>
      </c>
      <c r="I5" s="12"/>
      <c r="J5" s="12"/>
      <c r="K5" s="15"/>
      <c r="L5" s="15"/>
    </row>
    <row r="6" spans="1:20" x14ac:dyDescent="0.25">
      <c r="A6" s="4" t="s">
        <v>115</v>
      </c>
      <c r="B6" s="33">
        <v>21</v>
      </c>
      <c r="C6" s="4" t="s">
        <v>110</v>
      </c>
      <c r="D6" s="29">
        <f>D5*D4</f>
        <v>6</v>
      </c>
      <c r="E6" s="4" t="s">
        <v>110</v>
      </c>
      <c r="F6" s="29">
        <f>F5*F4</f>
        <v>10.199999999999999</v>
      </c>
      <c r="G6" s="4" t="s">
        <v>110</v>
      </c>
      <c r="H6" s="29">
        <f>H5*H4</f>
        <v>6.5</v>
      </c>
      <c r="I6" s="12"/>
      <c r="J6" s="12"/>
      <c r="K6" s="15"/>
      <c r="L6" s="15"/>
    </row>
    <row r="7" spans="1:20" x14ac:dyDescent="0.25">
      <c r="A7" s="4" t="s">
        <v>116</v>
      </c>
      <c r="B7" s="32">
        <v>30</v>
      </c>
      <c r="C7" s="35"/>
      <c r="I7" s="10"/>
      <c r="J7" s="15"/>
      <c r="K7" s="15"/>
      <c r="L7" s="15"/>
    </row>
    <row r="8" spans="1:20" x14ac:dyDescent="0.25">
      <c r="A8" s="12"/>
      <c r="B8" s="13"/>
      <c r="C8" s="13"/>
      <c r="E8" s="15"/>
      <c r="F8" s="26"/>
    </row>
    <row r="9" spans="1:20" x14ac:dyDescent="0.25">
      <c r="A9" s="47" t="s">
        <v>154</v>
      </c>
      <c r="B9" s="48"/>
      <c r="C9" s="48"/>
      <c r="D9" s="48"/>
      <c r="E9" s="48"/>
      <c r="F9" s="48"/>
      <c r="G9" s="48"/>
      <c r="H9" s="48"/>
      <c r="I9" s="48"/>
      <c r="J9" s="48"/>
      <c r="K9" s="49"/>
      <c r="L9" s="50" t="s">
        <v>155</v>
      </c>
      <c r="M9" s="51"/>
    </row>
    <row r="10" spans="1:20" ht="18.75" customHeight="1" x14ac:dyDescent="0.25">
      <c r="A10" s="37" t="s">
        <v>143</v>
      </c>
      <c r="B10" s="37" t="s">
        <v>144</v>
      </c>
      <c r="C10" s="37" t="s">
        <v>146</v>
      </c>
      <c r="D10" s="37" t="s">
        <v>145</v>
      </c>
      <c r="E10" s="37" t="s">
        <v>147</v>
      </c>
      <c r="F10" s="37" t="s">
        <v>148</v>
      </c>
      <c r="G10" s="37" t="s">
        <v>149</v>
      </c>
      <c r="H10" s="37" t="s">
        <v>150</v>
      </c>
      <c r="I10" s="37" t="s">
        <v>152</v>
      </c>
      <c r="J10" s="37" t="s">
        <v>151</v>
      </c>
      <c r="K10" s="37" t="s">
        <v>153</v>
      </c>
      <c r="L10" s="38" t="s">
        <v>156</v>
      </c>
      <c r="M10" s="38" t="s">
        <v>157</v>
      </c>
    </row>
    <row r="11" spans="1:20" ht="22.5" customHeight="1" x14ac:dyDescent="0.25">
      <c r="A11" s="4" t="s">
        <v>131</v>
      </c>
      <c r="B11" s="4">
        <v>31</v>
      </c>
      <c r="C11" s="6">
        <f>($B$7*$B$6)*4</f>
        <v>2520</v>
      </c>
      <c r="D11" s="6">
        <f t="shared" ref="D11:D22" si="0">($B$7*B11)*2</f>
        <v>1860</v>
      </c>
      <c r="E11" s="36">
        <f>($D$5*8)*B11</f>
        <v>992</v>
      </c>
      <c r="F11" s="29">
        <f>E11*$D$4</f>
        <v>1488</v>
      </c>
      <c r="G11" s="4">
        <f>($F$5*8)*B11</f>
        <v>496</v>
      </c>
      <c r="H11" s="29">
        <f>G11*$F$4</f>
        <v>2529.6</v>
      </c>
      <c r="I11" s="4">
        <f>$H$5*B11</f>
        <v>31</v>
      </c>
      <c r="J11" s="29">
        <f>I11*$H$4</f>
        <v>201.5</v>
      </c>
      <c r="K11" s="29">
        <f>J11+H11+F11+D11+J4</f>
        <v>6079.1</v>
      </c>
      <c r="L11" s="4">
        <v>120</v>
      </c>
      <c r="M11" s="6">
        <f>L11*'Room Information'!$C$4</f>
        <v>1200</v>
      </c>
    </row>
    <row r="12" spans="1:20" x14ac:dyDescent="0.25">
      <c r="A12" s="4" t="s">
        <v>132</v>
      </c>
      <c r="B12" s="4">
        <v>28</v>
      </c>
      <c r="C12" s="6">
        <f>($B$7*$B$6)*3</f>
        <v>1890</v>
      </c>
      <c r="D12" s="6">
        <f t="shared" si="0"/>
        <v>1680</v>
      </c>
      <c r="E12" s="36">
        <f t="shared" ref="E12:E22" si="1">($D$5*8)*B12</f>
        <v>896</v>
      </c>
      <c r="F12" s="29">
        <f t="shared" ref="F12:F22" si="2">E12*$D$4</f>
        <v>1344</v>
      </c>
      <c r="G12" s="4">
        <f t="shared" ref="G12:G22" si="3">($F$5*8)*B12</f>
        <v>448</v>
      </c>
      <c r="H12" s="29">
        <f t="shared" ref="H12:H22" si="4">G12*$F$4</f>
        <v>2284.7999999999997</v>
      </c>
      <c r="I12" s="4">
        <f t="shared" ref="I12:I22" si="5">$H$5*B12</f>
        <v>28</v>
      </c>
      <c r="J12" s="29">
        <f t="shared" ref="J12:J22" si="6">I12*$H$4</f>
        <v>182</v>
      </c>
      <c r="K12" s="29">
        <f t="shared" ref="K12:K22" si="7">J12+H12+F12+D12</f>
        <v>5490.7999999999993</v>
      </c>
      <c r="L12" s="4">
        <v>100</v>
      </c>
      <c r="M12" s="6">
        <f>L12*'Room Information'!$C$4</f>
        <v>1000</v>
      </c>
    </row>
    <row r="13" spans="1:20" x14ac:dyDescent="0.25">
      <c r="A13" s="4" t="s">
        <v>133</v>
      </c>
      <c r="B13" s="4">
        <v>31</v>
      </c>
      <c r="C13" s="6">
        <f t="shared" ref="C13:C22" si="8">($B$7*$B$6)*4</f>
        <v>2520</v>
      </c>
      <c r="D13" s="6">
        <f t="shared" si="0"/>
        <v>1860</v>
      </c>
      <c r="E13" s="36">
        <f t="shared" si="1"/>
        <v>992</v>
      </c>
      <c r="F13" s="29">
        <f t="shared" si="2"/>
        <v>1488</v>
      </c>
      <c r="G13" s="4">
        <f t="shared" si="3"/>
        <v>496</v>
      </c>
      <c r="H13" s="29">
        <f t="shared" si="4"/>
        <v>2529.6</v>
      </c>
      <c r="I13" s="4">
        <f t="shared" si="5"/>
        <v>31</v>
      </c>
      <c r="J13" s="29">
        <f t="shared" si="6"/>
        <v>201.5</v>
      </c>
      <c r="K13" s="29">
        <f t="shared" si="7"/>
        <v>6079.1</v>
      </c>
      <c r="L13" s="4">
        <v>110</v>
      </c>
      <c r="M13" s="6">
        <f>L13*'Room Information'!$C$4</f>
        <v>1100</v>
      </c>
    </row>
    <row r="14" spans="1:20" x14ac:dyDescent="0.25">
      <c r="A14" s="4" t="s">
        <v>134</v>
      </c>
      <c r="B14" s="4">
        <v>30</v>
      </c>
      <c r="C14" s="6">
        <f t="shared" si="8"/>
        <v>2520</v>
      </c>
      <c r="D14" s="6">
        <f t="shared" si="0"/>
        <v>1800</v>
      </c>
      <c r="E14" s="36">
        <f t="shared" si="1"/>
        <v>960</v>
      </c>
      <c r="F14" s="29">
        <f t="shared" si="2"/>
        <v>1440</v>
      </c>
      <c r="G14" s="4">
        <f t="shared" si="3"/>
        <v>480</v>
      </c>
      <c r="H14" s="29">
        <f t="shared" si="4"/>
        <v>2448</v>
      </c>
      <c r="I14" s="4">
        <f t="shared" si="5"/>
        <v>30</v>
      </c>
      <c r="J14" s="29">
        <f t="shared" si="6"/>
        <v>195</v>
      </c>
      <c r="K14" s="29">
        <f t="shared" si="7"/>
        <v>5883</v>
      </c>
      <c r="L14" s="4">
        <v>150</v>
      </c>
      <c r="M14" s="6">
        <f>L14*'Room Information'!$C$4</f>
        <v>1500</v>
      </c>
    </row>
    <row r="15" spans="1:20" x14ac:dyDescent="0.25">
      <c r="A15" s="4" t="s">
        <v>135</v>
      </c>
      <c r="B15" s="4">
        <v>31</v>
      </c>
      <c r="C15" s="6">
        <f t="shared" si="8"/>
        <v>2520</v>
      </c>
      <c r="D15" s="6">
        <f t="shared" si="0"/>
        <v>1860</v>
      </c>
      <c r="E15" s="36">
        <f t="shared" si="1"/>
        <v>992</v>
      </c>
      <c r="F15" s="29">
        <f t="shared" si="2"/>
        <v>1488</v>
      </c>
      <c r="G15" s="4">
        <f t="shared" si="3"/>
        <v>496</v>
      </c>
      <c r="H15" s="29">
        <f t="shared" si="4"/>
        <v>2529.6</v>
      </c>
      <c r="I15" s="4">
        <f t="shared" si="5"/>
        <v>31</v>
      </c>
      <c r="J15" s="29">
        <f t="shared" si="6"/>
        <v>201.5</v>
      </c>
      <c r="K15" s="29">
        <f t="shared" si="7"/>
        <v>6079.1</v>
      </c>
      <c r="L15" s="4">
        <v>100</v>
      </c>
      <c r="M15" s="6">
        <f>L15*'Room Information'!$C$4</f>
        <v>1000</v>
      </c>
    </row>
    <row r="16" spans="1:20" x14ac:dyDescent="0.25">
      <c r="A16" s="4" t="s">
        <v>136</v>
      </c>
      <c r="B16" s="4">
        <v>30</v>
      </c>
      <c r="C16" s="6">
        <f t="shared" si="8"/>
        <v>2520</v>
      </c>
      <c r="D16" s="6">
        <f t="shared" si="0"/>
        <v>1800</v>
      </c>
      <c r="E16" s="36">
        <f t="shared" si="1"/>
        <v>960</v>
      </c>
      <c r="F16" s="29">
        <f t="shared" si="2"/>
        <v>1440</v>
      </c>
      <c r="G16" s="4">
        <f t="shared" si="3"/>
        <v>480</v>
      </c>
      <c r="H16" s="29">
        <f t="shared" si="4"/>
        <v>2448</v>
      </c>
      <c r="I16" s="4">
        <f t="shared" si="5"/>
        <v>30</v>
      </c>
      <c r="J16" s="29">
        <f t="shared" si="6"/>
        <v>195</v>
      </c>
      <c r="K16" s="29">
        <f t="shared" si="7"/>
        <v>5883</v>
      </c>
      <c r="L16" s="4">
        <v>135</v>
      </c>
      <c r="M16" s="6">
        <f>L16*'Room Information'!$C$4</f>
        <v>1350</v>
      </c>
    </row>
    <row r="17" spans="1:13" x14ac:dyDescent="0.25">
      <c r="A17" s="4" t="s">
        <v>137</v>
      </c>
      <c r="B17" s="4">
        <v>31</v>
      </c>
      <c r="C17" s="6">
        <f t="shared" si="8"/>
        <v>2520</v>
      </c>
      <c r="D17" s="6">
        <f t="shared" si="0"/>
        <v>1860</v>
      </c>
      <c r="E17" s="36">
        <f t="shared" si="1"/>
        <v>992</v>
      </c>
      <c r="F17" s="29">
        <f t="shared" si="2"/>
        <v>1488</v>
      </c>
      <c r="G17" s="4">
        <f t="shared" si="3"/>
        <v>496</v>
      </c>
      <c r="H17" s="29">
        <f t="shared" si="4"/>
        <v>2529.6</v>
      </c>
      <c r="I17" s="4">
        <f t="shared" si="5"/>
        <v>31</v>
      </c>
      <c r="J17" s="29">
        <f t="shared" si="6"/>
        <v>201.5</v>
      </c>
      <c r="K17" s="29">
        <f t="shared" si="7"/>
        <v>6079.1</v>
      </c>
      <c r="L17" s="4">
        <v>120</v>
      </c>
      <c r="M17" s="6">
        <f>L17*'Room Information'!$C$4</f>
        <v>1200</v>
      </c>
    </row>
    <row r="18" spans="1:13" x14ac:dyDescent="0.25">
      <c r="A18" s="4" t="s">
        <v>138</v>
      </c>
      <c r="B18" s="4">
        <v>31</v>
      </c>
      <c r="C18" s="6">
        <f t="shared" si="8"/>
        <v>2520</v>
      </c>
      <c r="D18" s="6">
        <f t="shared" si="0"/>
        <v>1860</v>
      </c>
      <c r="E18" s="36">
        <f t="shared" si="1"/>
        <v>992</v>
      </c>
      <c r="F18" s="29">
        <f t="shared" si="2"/>
        <v>1488</v>
      </c>
      <c r="G18" s="4">
        <f t="shared" si="3"/>
        <v>496</v>
      </c>
      <c r="H18" s="29">
        <f t="shared" si="4"/>
        <v>2529.6</v>
      </c>
      <c r="I18" s="4">
        <f t="shared" si="5"/>
        <v>31</v>
      </c>
      <c r="J18" s="29">
        <f t="shared" si="6"/>
        <v>201.5</v>
      </c>
      <c r="K18" s="29">
        <f t="shared" si="7"/>
        <v>6079.1</v>
      </c>
      <c r="L18" s="4">
        <v>190</v>
      </c>
      <c r="M18" s="6">
        <f>L18*'Room Information'!$C$4</f>
        <v>1900</v>
      </c>
    </row>
    <row r="19" spans="1:13" x14ac:dyDescent="0.25">
      <c r="A19" s="4" t="s">
        <v>139</v>
      </c>
      <c r="B19" s="4">
        <v>30</v>
      </c>
      <c r="C19" s="6">
        <f t="shared" si="8"/>
        <v>2520</v>
      </c>
      <c r="D19" s="6">
        <f t="shared" si="0"/>
        <v>1800</v>
      </c>
      <c r="E19" s="36">
        <f t="shared" si="1"/>
        <v>960</v>
      </c>
      <c r="F19" s="29">
        <f t="shared" si="2"/>
        <v>1440</v>
      </c>
      <c r="G19" s="4">
        <f t="shared" si="3"/>
        <v>480</v>
      </c>
      <c r="H19" s="29">
        <f t="shared" si="4"/>
        <v>2448</v>
      </c>
      <c r="I19" s="4">
        <f t="shared" si="5"/>
        <v>30</v>
      </c>
      <c r="J19" s="29">
        <f t="shared" si="6"/>
        <v>195</v>
      </c>
      <c r="K19" s="29">
        <f t="shared" si="7"/>
        <v>5883</v>
      </c>
      <c r="L19" s="4">
        <v>140</v>
      </c>
      <c r="M19" s="6">
        <f>L19*'Room Information'!$C$4</f>
        <v>1400</v>
      </c>
    </row>
    <row r="20" spans="1:13" x14ac:dyDescent="0.25">
      <c r="A20" s="4" t="s">
        <v>140</v>
      </c>
      <c r="B20" s="4">
        <v>31</v>
      </c>
      <c r="C20" s="6">
        <f t="shared" si="8"/>
        <v>2520</v>
      </c>
      <c r="D20" s="6">
        <f t="shared" si="0"/>
        <v>1860</v>
      </c>
      <c r="E20" s="36">
        <f t="shared" si="1"/>
        <v>992</v>
      </c>
      <c r="F20" s="29">
        <f t="shared" si="2"/>
        <v>1488</v>
      </c>
      <c r="G20" s="4">
        <f t="shared" si="3"/>
        <v>496</v>
      </c>
      <c r="H20" s="29">
        <f t="shared" si="4"/>
        <v>2529.6</v>
      </c>
      <c r="I20" s="4">
        <f t="shared" si="5"/>
        <v>31</v>
      </c>
      <c r="J20" s="29">
        <f t="shared" si="6"/>
        <v>201.5</v>
      </c>
      <c r="K20" s="29">
        <f t="shared" si="7"/>
        <v>6079.1</v>
      </c>
      <c r="L20" s="4">
        <v>100</v>
      </c>
      <c r="M20" s="6">
        <f>L20*'Room Information'!$C$4</f>
        <v>1000</v>
      </c>
    </row>
    <row r="21" spans="1:13" x14ac:dyDescent="0.25">
      <c r="A21" s="4" t="s">
        <v>141</v>
      </c>
      <c r="B21" s="4">
        <v>30</v>
      </c>
      <c r="C21" s="6">
        <f t="shared" si="8"/>
        <v>2520</v>
      </c>
      <c r="D21" s="6">
        <f t="shared" si="0"/>
        <v>1800</v>
      </c>
      <c r="E21" s="36">
        <f t="shared" si="1"/>
        <v>960</v>
      </c>
      <c r="F21" s="29">
        <f t="shared" si="2"/>
        <v>1440</v>
      </c>
      <c r="G21" s="4">
        <f t="shared" si="3"/>
        <v>480</v>
      </c>
      <c r="H21" s="29">
        <f t="shared" si="4"/>
        <v>2448</v>
      </c>
      <c r="I21" s="4">
        <f t="shared" si="5"/>
        <v>30</v>
      </c>
      <c r="J21" s="29">
        <f t="shared" si="6"/>
        <v>195</v>
      </c>
      <c r="K21" s="29">
        <f t="shared" si="7"/>
        <v>5883</v>
      </c>
      <c r="L21" s="4">
        <v>140</v>
      </c>
      <c r="M21" s="6">
        <f>L21*'Room Information'!$C$4</f>
        <v>1400</v>
      </c>
    </row>
    <row r="22" spans="1:13" x14ac:dyDescent="0.25">
      <c r="A22" s="4" t="s">
        <v>142</v>
      </c>
      <c r="B22" s="4">
        <v>31</v>
      </c>
      <c r="C22" s="6">
        <f t="shared" si="8"/>
        <v>2520</v>
      </c>
      <c r="D22" s="6">
        <f t="shared" si="0"/>
        <v>1860</v>
      </c>
      <c r="E22" s="36">
        <f t="shared" si="1"/>
        <v>992</v>
      </c>
      <c r="F22" s="29">
        <f t="shared" si="2"/>
        <v>1488</v>
      </c>
      <c r="G22" s="4">
        <f t="shared" si="3"/>
        <v>496</v>
      </c>
      <c r="H22" s="29">
        <f t="shared" si="4"/>
        <v>2529.6</v>
      </c>
      <c r="I22" s="4">
        <f t="shared" si="5"/>
        <v>31</v>
      </c>
      <c r="J22" s="29">
        <f t="shared" si="6"/>
        <v>201.5</v>
      </c>
      <c r="K22" s="29">
        <f t="shared" si="7"/>
        <v>6079.1</v>
      </c>
      <c r="L22" s="4">
        <v>130</v>
      </c>
      <c r="M22" s="6">
        <f>L22*'Room Information'!$C$4</f>
        <v>1300</v>
      </c>
    </row>
    <row r="24" spans="1:13" x14ac:dyDescent="0.25">
      <c r="A24" s="52" t="s">
        <v>164</v>
      </c>
      <c r="B24" s="53"/>
      <c r="M24" s="41">
        <f>SUM(M11:M22)/12</f>
        <v>1279.1666666666667</v>
      </c>
    </row>
    <row r="25" spans="1:13" x14ac:dyDescent="0.25">
      <c r="A25" s="4" t="s">
        <v>158</v>
      </c>
      <c r="B25" s="6">
        <f>B7/8</f>
        <v>3.75</v>
      </c>
    </row>
    <row r="26" spans="1:13" x14ac:dyDescent="0.25">
      <c r="A26" s="4" t="s">
        <v>159</v>
      </c>
      <c r="B26" s="6">
        <f>(D6*2)/8</f>
        <v>1.5</v>
      </c>
    </row>
    <row r="27" spans="1:13" x14ac:dyDescent="0.25">
      <c r="A27" s="4" t="s">
        <v>165</v>
      </c>
      <c r="B27" s="6">
        <f>F6/8</f>
        <v>1.2749999999999999</v>
      </c>
    </row>
    <row r="28" spans="1:13" x14ac:dyDescent="0.25">
      <c r="A28" s="4" t="s">
        <v>166</v>
      </c>
      <c r="B28" s="6">
        <f>H6/8</f>
        <v>0.8125</v>
      </c>
    </row>
    <row r="29" spans="1:13" x14ac:dyDescent="0.25">
      <c r="A29" s="4" t="s">
        <v>160</v>
      </c>
      <c r="B29" s="6">
        <v>25</v>
      </c>
    </row>
    <row r="30" spans="1:13" x14ac:dyDescent="0.25">
      <c r="A30" s="4" t="s">
        <v>161</v>
      </c>
      <c r="B30" s="6">
        <f>B29+B27+B28+B26+B25</f>
        <v>32.337499999999999</v>
      </c>
    </row>
    <row r="31" spans="1:13" x14ac:dyDescent="0.25">
      <c r="A31" s="4" t="s">
        <v>162</v>
      </c>
      <c r="B31" s="6">
        <v>10</v>
      </c>
    </row>
    <row r="32" spans="1:13" x14ac:dyDescent="0.25">
      <c r="A32" s="4" t="s">
        <v>163</v>
      </c>
      <c r="B32" s="6">
        <f>B31-B30</f>
        <v>-22.337499999999999</v>
      </c>
    </row>
  </sheetData>
  <mergeCells count="9">
    <mergeCell ref="A9:K9"/>
    <mergeCell ref="L9:M9"/>
    <mergeCell ref="A24:B24"/>
    <mergeCell ref="A3:B3"/>
    <mergeCell ref="C3:D3"/>
    <mergeCell ref="I3:J3"/>
    <mergeCell ref="K3:L3"/>
    <mergeCell ref="E3:F3"/>
    <mergeCell ref="G3:H3"/>
  </mergeCells>
  <dataValidations count="3">
    <dataValidation type="decimal" allowBlank="1" showInputMessage="1" showErrorMessage="1" errorTitle="Invalid Input" error="You must enter a number for this cell." sqref="F4">
      <formula1>1</formula1>
      <formula2>99999999999999</formula2>
    </dataValidation>
    <dataValidation type="decimal" allowBlank="1" showInputMessage="1" showErrorMessage="1" errorTitle="Invalid input" error="You must enter a number for this cell." sqref="D4">
      <formula1>1</formula1>
      <formula2>9999999999</formula2>
    </dataValidation>
    <dataValidation type="decimal" showInputMessage="1" showErrorMessage="1" errorTitle="Invalid input" error="You must enter a number for this cell." sqref="B4:C7">
      <formula1>1</formula1>
      <formula2>9999999999999990000</formula2>
    </dataValidation>
  </dataValidations>
  <pageMargins left="0.7" right="0.7" top="0.75" bottom="0.75" header="0.3" footer="0.3"/>
  <pageSetup paperSize="9" orientation="landscape" cellComments="atEnd"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U25"/>
  <sheetViews>
    <sheetView showGridLines="0" workbookViewId="0">
      <selection activeCell="F22" sqref="F22"/>
    </sheetView>
  </sheetViews>
  <sheetFormatPr defaultRowHeight="15" x14ac:dyDescent="0.25"/>
  <cols>
    <col min="1" max="1" width="15.5703125" customWidth="1"/>
    <col min="2" max="2" width="11.85546875" customWidth="1"/>
    <col min="3" max="3" width="19" bestFit="1" customWidth="1"/>
    <col min="4" max="4" width="18.5703125" customWidth="1"/>
    <col min="5" max="5" width="16" bestFit="1" customWidth="1"/>
    <col min="6" max="6" width="14.140625" customWidth="1"/>
    <col min="7" max="7" width="16.140625" customWidth="1"/>
    <col min="8" max="8" width="16.5703125" customWidth="1"/>
    <col min="9" max="9" width="16.42578125" customWidth="1"/>
    <col min="10" max="10" width="11.28515625" customWidth="1"/>
    <col min="11" max="11" width="11" bestFit="1" customWidth="1"/>
    <col min="12" max="12" width="20.140625" customWidth="1"/>
    <col min="13" max="13" width="18.5703125" customWidth="1"/>
    <col min="14" max="14" width="17.42578125" bestFit="1" customWidth="1"/>
    <col min="15" max="15" width="13.42578125" customWidth="1"/>
    <col min="17" max="19" width="11.5703125" customWidth="1"/>
    <col min="20" max="20" width="10.7109375" bestFit="1" customWidth="1"/>
  </cols>
  <sheetData>
    <row r="1" spans="1:21" ht="15" customHeight="1" x14ac:dyDescent="0.25">
      <c r="A1" s="19" t="str">
        <f>'Bookings Information'!A3</f>
        <v>Booking ID</v>
      </c>
      <c r="B1" s="19" t="str">
        <f>'Bookings Information'!C3</f>
        <v>Title</v>
      </c>
      <c r="C1" s="19" t="str">
        <f>'Bookings Information'!D3</f>
        <v>First Name</v>
      </c>
      <c r="D1" s="19" t="str">
        <f>'Bookings Information'!E3</f>
        <v>Second Name</v>
      </c>
      <c r="E1" s="19" t="str">
        <f>'Bookings Information'!H3</f>
        <v>Address Line 1</v>
      </c>
      <c r="F1" s="19" t="str">
        <f>'Bookings Information'!I3</f>
        <v>Address Line 2</v>
      </c>
      <c r="G1" s="19" t="str">
        <f>'Bookings Information'!J3</f>
        <v>Address Line 3</v>
      </c>
      <c r="H1" s="19" t="str">
        <f>'Bookings Information'!K3</f>
        <v>Address Line 4</v>
      </c>
      <c r="I1" s="19" t="str">
        <f>'Bookings Information'!L3</f>
        <v>Address Line 5</v>
      </c>
      <c r="J1" s="19" t="str">
        <f>'Room Information'!B3</f>
        <v>Room Type</v>
      </c>
      <c r="K1" s="7" t="str">
        <f>'Room Information'!C3</f>
        <v>Room Price</v>
      </c>
      <c r="L1" s="19" t="s">
        <v>73</v>
      </c>
      <c r="M1" s="19" t="s">
        <v>74</v>
      </c>
      <c r="N1" s="19" t="s">
        <v>88</v>
      </c>
      <c r="O1" s="19" t="s">
        <v>89</v>
      </c>
      <c r="P1" s="19" t="s">
        <v>91</v>
      </c>
      <c r="Q1" s="19" t="s">
        <v>92</v>
      </c>
      <c r="R1" s="19" t="s">
        <v>123</v>
      </c>
      <c r="S1" s="19" t="s">
        <v>84</v>
      </c>
      <c r="T1" s="19" t="s">
        <v>93</v>
      </c>
      <c r="U1" s="3"/>
    </row>
    <row r="2" spans="1:21" x14ac:dyDescent="0.25">
      <c r="A2" s="19" t="str">
        <f>'Bookings Information'!A4</f>
        <v>BOOK_001</v>
      </c>
      <c r="B2" s="19" t="str">
        <f>'Bookings Information'!C4</f>
        <v>Ms</v>
      </c>
      <c r="C2" s="19" t="str">
        <f>'Bookings Information'!D4</f>
        <v>Samantha</v>
      </c>
      <c r="D2" s="19" t="str">
        <f>'Bookings Information'!E4</f>
        <v>Blair</v>
      </c>
      <c r="E2" s="19" t="str">
        <f>'Bookings Information'!H4</f>
        <v>85 Afghan Lane</v>
      </c>
      <c r="F2" s="19" t="str">
        <f>'Bookings Information'!I4</f>
        <v>London</v>
      </c>
      <c r="G2" s="19" t="str">
        <f>'Bookings Information'!J4</f>
        <v>Westminster</v>
      </c>
      <c r="H2" s="19" t="str">
        <f>'Bookings Information'!K4</f>
        <v>England</v>
      </c>
      <c r="I2" s="19" t="str">
        <f>'Bookings Information'!L4</f>
        <v>SY7 8EE</v>
      </c>
      <c r="J2" s="19" t="str">
        <f>'Room Information'!B4</f>
        <v>Twin</v>
      </c>
      <c r="K2" s="23">
        <f>'Room Information'!C4</f>
        <v>10</v>
      </c>
      <c r="L2" s="21">
        <f>'Bookings Information'!S4</f>
        <v>41596</v>
      </c>
      <c r="M2" s="21">
        <f>'Bookings Information'!T4</f>
        <v>41603</v>
      </c>
      <c r="N2" s="19" t="str">
        <f>CONCATENATE('Bookings Information'!C4," ",'Bookings Information'!D4," ",'Bookings Information'!E4)</f>
        <v>Ms Samantha Blair</v>
      </c>
      <c r="O2" s="20" t="str">
        <f>'Bookings Information'!Y4</f>
        <v>£3.00</v>
      </c>
      <c r="P2" s="20" t="str">
        <f>'Bookings Information'!AA4</f>
        <v>£3.00</v>
      </c>
      <c r="Q2" s="20" t="str">
        <f>'Bookings Information'!AC4</f>
        <v>£1.50</v>
      </c>
      <c r="R2" s="20" t="str">
        <f>'Bookings Information'!W4</f>
        <v>£2.50</v>
      </c>
      <c r="S2" s="20">
        <f>'Bookings Information'!AE4</f>
        <v>80</v>
      </c>
      <c r="T2" s="22">
        <f ca="1">TODAY()</f>
        <v>41569</v>
      </c>
      <c r="U2" s="3"/>
    </row>
    <row r="3" spans="1:21" x14ac:dyDescent="0.25">
      <c r="A3" s="19" t="str">
        <f>'Bookings Information'!A5</f>
        <v>BOOK_002</v>
      </c>
      <c r="B3" s="19" t="str">
        <f>'Bookings Information'!C5</f>
        <v>Mrs</v>
      </c>
      <c r="C3" s="19" t="str">
        <f>'Bookings Information'!D5</f>
        <v>Paulina</v>
      </c>
      <c r="D3" s="19" t="str">
        <f>'Bookings Information'!E5</f>
        <v>Jebb</v>
      </c>
      <c r="E3" s="19" t="str">
        <f>'Bookings Information'!H5</f>
        <v>97 Salmon Street</v>
      </c>
      <c r="F3" s="19" t="str">
        <f>'Bookings Information'!I5</f>
        <v>Cheshire</v>
      </c>
      <c r="G3" s="19" t="str">
        <f>'Bookings Information'!J5</f>
        <v>Ingoo Plaza</v>
      </c>
      <c r="H3" s="19" t="str">
        <f>'Bookings Information'!K5</f>
        <v>England</v>
      </c>
      <c r="I3" s="19" t="str">
        <f>'Bookings Information'!L5</f>
        <v>SY7 8EE</v>
      </c>
      <c r="J3" s="19" t="str">
        <f>'Room Information'!B5</f>
        <v>Double</v>
      </c>
      <c r="K3" s="23">
        <f>'Room Information'!C5</f>
        <v>10</v>
      </c>
      <c r="L3" s="21">
        <f>'Bookings Information'!S5</f>
        <v>41491</v>
      </c>
      <c r="M3" s="21">
        <f>'Bookings Information'!T5</f>
        <v>41492</v>
      </c>
      <c r="N3" s="19" t="str">
        <f>CONCATENATE('Bookings Information'!C5," ",'Bookings Information'!D5," ",'Bookings Information'!E5)</f>
        <v>Mrs Paulina Jebb</v>
      </c>
      <c r="O3" s="20" t="str">
        <f>'Bookings Information'!Y5</f>
        <v>£5.00</v>
      </c>
      <c r="P3" s="20" t="str">
        <f>'Bookings Information'!AA5</f>
        <v>£5.00</v>
      </c>
      <c r="Q3" s="20" t="str">
        <f>'Bookings Information'!AC5</f>
        <v>£1.50</v>
      </c>
      <c r="R3" s="20" t="str">
        <f>'Bookings Information'!W5</f>
        <v>£2.50</v>
      </c>
      <c r="S3" s="20">
        <f>'Bookings Information'!AE5</f>
        <v>24</v>
      </c>
      <c r="T3" s="22">
        <f t="shared" ref="T3:T9" ca="1" si="0">TODAY()</f>
        <v>41569</v>
      </c>
    </row>
    <row r="4" spans="1:21" x14ac:dyDescent="0.25">
      <c r="A4" s="19" t="str">
        <f>'Bookings Information'!A6</f>
        <v>BOOK_003</v>
      </c>
      <c r="B4" s="19" t="str">
        <f>'Bookings Information'!C6</f>
        <v>Doctor</v>
      </c>
      <c r="C4" s="19" t="str">
        <f>'Bookings Information'!D6</f>
        <v>Paul</v>
      </c>
      <c r="D4" s="19" t="str">
        <f>'Bookings Information'!E6</f>
        <v>Jacobs</v>
      </c>
      <c r="E4" s="19" t="str">
        <f>'Bookings Information'!H6</f>
        <v>32 Chip Avenue</v>
      </c>
      <c r="F4" s="19" t="str">
        <f>'Bookings Information'!I6</f>
        <v>Birmingham</v>
      </c>
      <c r="G4" s="19" t="str">
        <f>'Bookings Information'!J6</f>
        <v>The Bullring</v>
      </c>
      <c r="H4" s="19" t="str">
        <f>'Bookings Information'!K6</f>
        <v>England</v>
      </c>
      <c r="I4" s="19" t="str">
        <f>'Bookings Information'!L6</f>
        <v>SY7 8EE</v>
      </c>
      <c r="J4" s="19" t="str">
        <f>'Room Information'!B6</f>
        <v>Twin</v>
      </c>
      <c r="K4" s="23">
        <f>'Room Information'!C6</f>
        <v>10</v>
      </c>
      <c r="L4" s="21">
        <f>'Bookings Information'!S6</f>
        <v>41432</v>
      </c>
      <c r="M4" s="21">
        <f>'Bookings Information'!T6</f>
        <v>41463</v>
      </c>
      <c r="N4" s="19" t="str">
        <f>CONCATENATE('Bookings Information'!C6," ",'Bookings Information'!D6," ",'Bookings Information'!E6)</f>
        <v>Doctor Paul Jacobs</v>
      </c>
      <c r="O4" s="20" t="str">
        <f>'Bookings Information'!Y6</f>
        <v>£10.00</v>
      </c>
      <c r="P4" s="20" t="str">
        <f>'Bookings Information'!AA6</f>
        <v>£5.00</v>
      </c>
      <c r="Q4" s="20" t="str">
        <f>'Bookings Information'!AC6</f>
        <v>£3.00</v>
      </c>
      <c r="R4" s="20" t="str">
        <f>'Bookings Information'!W6</f>
        <v>£0.00</v>
      </c>
      <c r="S4" s="20">
        <f>'Bookings Information'!AE6</f>
        <v>328</v>
      </c>
      <c r="T4" s="22">
        <f t="shared" ca="1" si="0"/>
        <v>41569</v>
      </c>
    </row>
    <row r="5" spans="1:21" x14ac:dyDescent="0.25">
      <c r="A5" s="19" t="str">
        <f>'Bookings Information'!A7</f>
        <v>BOOK_004</v>
      </c>
      <c r="B5" s="19" t="str">
        <f>'Bookings Information'!C7</f>
        <v>Ms</v>
      </c>
      <c r="C5" s="19" t="str">
        <f>'Bookings Information'!D7</f>
        <v>Samantha</v>
      </c>
      <c r="D5" s="19" t="str">
        <f>'Bookings Information'!E7</f>
        <v>Blair</v>
      </c>
      <c r="E5" s="19" t="str">
        <f>'Bookings Information'!H7</f>
        <v>85 Afghan Lane</v>
      </c>
      <c r="F5" s="19" t="str">
        <f>'Bookings Information'!I7</f>
        <v>London</v>
      </c>
      <c r="G5" s="19" t="str">
        <f>'Bookings Information'!J7</f>
        <v>Westminster</v>
      </c>
      <c r="H5" s="19" t="str">
        <f>'Bookings Information'!K7</f>
        <v>England</v>
      </c>
      <c r="I5" s="19" t="str">
        <f>'Bookings Information'!L7</f>
        <v>SY7 8EE</v>
      </c>
      <c r="J5" s="19" t="str">
        <f>'Room Information'!B7</f>
        <v>Double</v>
      </c>
      <c r="K5" s="23">
        <f>'Room Information'!C7</f>
        <v>10</v>
      </c>
      <c r="L5" s="21">
        <f>'Bookings Information'!S7</f>
        <v>41634</v>
      </c>
      <c r="M5" s="21">
        <f>'Bookings Information'!T7</f>
        <v>41640</v>
      </c>
      <c r="N5" s="19" t="str">
        <f>CONCATENATE('Bookings Information'!C7," ",'Bookings Information'!D7," ",'Bookings Information'!E7)</f>
        <v>Ms Samantha Blair</v>
      </c>
      <c r="O5" s="20" t="str">
        <f>'Bookings Information'!Y7</f>
        <v>£10.00</v>
      </c>
      <c r="P5" s="20" t="str">
        <f>'Bookings Information'!AA7</f>
        <v>£4.50</v>
      </c>
      <c r="Q5" s="20" t="str">
        <f>'Bookings Information'!AC7</f>
        <v>£10.00</v>
      </c>
      <c r="R5" s="20" t="str">
        <f>'Bookings Information'!W7</f>
        <v>£5.00</v>
      </c>
      <c r="S5" s="20">
        <f>'Bookings Information'!AE7</f>
        <v>89.5</v>
      </c>
      <c r="T5" s="22">
        <f t="shared" ca="1" si="0"/>
        <v>41569</v>
      </c>
    </row>
    <row r="6" spans="1:21" x14ac:dyDescent="0.25">
      <c r="A6" s="19" t="str">
        <f>'Bookings Information'!A8</f>
        <v>BOOK_005</v>
      </c>
      <c r="B6" s="19" t="str">
        <f>'Bookings Information'!C8</f>
        <v>Doctor</v>
      </c>
      <c r="C6" s="19" t="str">
        <f>'Bookings Information'!D8</f>
        <v>Tony</v>
      </c>
      <c r="D6" s="19" t="str">
        <f>'Bookings Information'!E8</f>
        <v>Blair</v>
      </c>
      <c r="E6" s="19" t="str">
        <f>'Bookings Information'!H8</f>
        <v>Hampshire Row</v>
      </c>
      <c r="F6" s="19" t="str">
        <f>'Bookings Information'!I8</f>
        <v>Reading</v>
      </c>
      <c r="G6" s="19" t="str">
        <f>'Bookings Information'!J8</f>
        <v xml:space="preserve"> Train Station</v>
      </c>
      <c r="H6" s="19" t="str">
        <f>'Bookings Information'!K8</f>
        <v>England</v>
      </c>
      <c r="I6" s="19" t="str">
        <f>'Bookings Information'!L8</f>
        <v>SY7 8EE</v>
      </c>
      <c r="J6" s="19" t="str">
        <f>'Room Information'!B8</f>
        <v>Twin</v>
      </c>
      <c r="K6" s="23">
        <f>'Room Information'!C8</f>
        <v>10</v>
      </c>
      <c r="L6" s="21">
        <f>'Bookings Information'!S8</f>
        <v>41363</v>
      </c>
      <c r="M6" s="21">
        <f>'Bookings Information'!T8</f>
        <v>41374</v>
      </c>
      <c r="N6" s="19" t="str">
        <f>CONCATENATE('Bookings Information'!C8," ",'Bookings Information'!D8," ",'Bookings Information'!E8)</f>
        <v>Doctor Tony Blair</v>
      </c>
      <c r="O6" s="20" t="str">
        <f>'Bookings Information'!Y8</f>
        <v>£5.00</v>
      </c>
      <c r="P6" s="20" t="str">
        <f>'Bookings Information'!AA8</f>
        <v>£3.00</v>
      </c>
      <c r="Q6" s="20" t="str">
        <f>'Bookings Information'!AC8</f>
        <v>£10.00</v>
      </c>
      <c r="R6" s="20" t="str">
        <f>'Bookings Information'!W8</f>
        <v>£5.00</v>
      </c>
      <c r="S6" s="20">
        <f>'Bookings Information'!AE8</f>
        <v>133</v>
      </c>
      <c r="T6" s="22">
        <f t="shared" ca="1" si="0"/>
        <v>41569</v>
      </c>
    </row>
    <row r="7" spans="1:21" x14ac:dyDescent="0.25">
      <c r="A7" s="19" t="str">
        <f>'Bookings Information'!A9</f>
        <v>BOOK_006</v>
      </c>
      <c r="B7" s="19" t="str">
        <f>'Bookings Information'!C9</f>
        <v>Ms</v>
      </c>
      <c r="C7" s="19" t="str">
        <f>'Bookings Information'!D9</f>
        <v>Samantha</v>
      </c>
      <c r="D7" s="19" t="str">
        <f>'Bookings Information'!E9</f>
        <v>Blair</v>
      </c>
      <c r="E7" s="19" t="str">
        <f>'Bookings Information'!H9</f>
        <v>85 Afghan Lane</v>
      </c>
      <c r="F7" s="19" t="str">
        <f>'Bookings Information'!I9</f>
        <v>London</v>
      </c>
      <c r="G7" s="19" t="str">
        <f>'Bookings Information'!J9</f>
        <v>Hampshire</v>
      </c>
      <c r="H7" s="19" t="str">
        <f>'Bookings Information'!K9</f>
        <v>England</v>
      </c>
      <c r="I7" s="19" t="str">
        <f>'Bookings Information'!L9</f>
        <v>SY7 8EE</v>
      </c>
      <c r="J7" s="19" t="str">
        <f>'Room Information'!B9</f>
        <v>Double</v>
      </c>
      <c r="K7" s="23">
        <f>'Room Information'!C9</f>
        <v>10</v>
      </c>
      <c r="L7" s="21">
        <f>'Bookings Information'!S9</f>
        <v>41435</v>
      </c>
      <c r="M7" s="21">
        <f>'Bookings Information'!T9</f>
        <v>41437</v>
      </c>
      <c r="N7" s="19" t="str">
        <f>CONCATENATE('Bookings Information'!C9," ",'Bookings Information'!D9," ",'Bookings Information'!E9)</f>
        <v>Ms Samantha Blair</v>
      </c>
      <c r="O7" s="20" t="str">
        <f>'Bookings Information'!Y9</f>
        <v>£5.00</v>
      </c>
      <c r="P7" s="20" t="str">
        <f>'Bookings Information'!AA9</f>
        <v>£10.00</v>
      </c>
      <c r="Q7" s="20" t="str">
        <f>'Bookings Information'!AC9</f>
        <v>£3.00</v>
      </c>
      <c r="R7" s="20" t="str">
        <f>'Bookings Information'!W9</f>
        <v>£6.50</v>
      </c>
      <c r="S7" s="20">
        <f>'Bookings Information'!AE9</f>
        <v>44.5</v>
      </c>
      <c r="T7" s="22">
        <f t="shared" ca="1" si="0"/>
        <v>41569</v>
      </c>
    </row>
    <row r="8" spans="1:21" x14ac:dyDescent="0.25">
      <c r="A8" s="19" t="str">
        <f>'Bookings Information'!A10</f>
        <v>BOOK_007</v>
      </c>
      <c r="B8" s="19" t="str">
        <f>'Bookings Information'!C10</f>
        <v>Doctor</v>
      </c>
      <c r="C8" s="19" t="str">
        <f>'Bookings Information'!D10</f>
        <v>Paul</v>
      </c>
      <c r="D8" s="19" t="str">
        <f>'Bookings Information'!E10</f>
        <v>Jacobs</v>
      </c>
      <c r="E8" s="19" t="str">
        <f>'Bookings Information'!H10</f>
        <v>32 Chip Avenue</v>
      </c>
      <c r="F8" s="19" t="str">
        <f>'Bookings Information'!I10</f>
        <v>London</v>
      </c>
      <c r="G8" s="19" t="str">
        <f>'Bookings Information'!J10</f>
        <v>Hampshire</v>
      </c>
      <c r="H8" s="19" t="str">
        <f>'Bookings Information'!K10</f>
        <v>England</v>
      </c>
      <c r="I8" s="19" t="str">
        <f>'Bookings Information'!L10</f>
        <v>SY7 8EE</v>
      </c>
      <c r="J8" s="19" t="str">
        <f>'Room Information'!B10</f>
        <v>Twin</v>
      </c>
      <c r="K8" s="23">
        <f>'Room Information'!C10</f>
        <v>10</v>
      </c>
      <c r="L8" s="21">
        <f>'Bookings Information'!S10</f>
        <v>41441</v>
      </c>
      <c r="M8" s="21">
        <f>'Bookings Information'!T10</f>
        <v>41446</v>
      </c>
      <c r="N8" s="19" t="str">
        <f>CONCATENATE('Bookings Information'!C10," ",'Bookings Information'!D10," ",'Bookings Information'!E10)</f>
        <v>Doctor Paul Jacobs</v>
      </c>
      <c r="O8" s="20" t="str">
        <f>'Bookings Information'!Y10</f>
        <v>£10.00</v>
      </c>
      <c r="P8" s="20" t="str">
        <f>'Bookings Information'!AA10</f>
        <v>£5.00</v>
      </c>
      <c r="Q8" s="20" t="str">
        <f>'Bookings Information'!AC10</f>
        <v>£1.50</v>
      </c>
      <c r="R8" s="20" t="str">
        <f>'Bookings Information'!W10</f>
        <v>£2.50</v>
      </c>
      <c r="S8" s="20">
        <f>'Bookings Information'!AE10</f>
        <v>69</v>
      </c>
      <c r="T8" s="22">
        <f t="shared" ca="1" si="0"/>
        <v>41569</v>
      </c>
    </row>
    <row r="9" spans="1:21" x14ac:dyDescent="0.25">
      <c r="A9" s="19" t="str">
        <f>'Bookings Information'!A11</f>
        <v>BOOK_008</v>
      </c>
      <c r="B9" s="19" t="str">
        <f>'Bookings Information'!C11</f>
        <v>Mrs</v>
      </c>
      <c r="C9" s="19" t="str">
        <f>'Bookings Information'!D11</f>
        <v>Paulina</v>
      </c>
      <c r="D9" s="19" t="str">
        <f>'Bookings Information'!E11</f>
        <v>Jebb</v>
      </c>
      <c r="E9" s="19" t="str">
        <f>'Bookings Information'!H11</f>
        <v>Hampshire Row</v>
      </c>
      <c r="F9" s="19" t="str">
        <f>'Bookings Information'!I11</f>
        <v>London</v>
      </c>
      <c r="G9" s="19" t="str">
        <f>'Bookings Information'!J11</f>
        <v>Hampshire</v>
      </c>
      <c r="H9" s="19" t="str">
        <f>'Bookings Information'!K11</f>
        <v>England</v>
      </c>
      <c r="I9" s="19" t="str">
        <f>'Bookings Information'!L11</f>
        <v>SY7 8EE</v>
      </c>
      <c r="J9" s="19" t="str">
        <f>'Room Information'!B11</f>
        <v>Double</v>
      </c>
      <c r="K9" s="23">
        <f>'Room Information'!C11</f>
        <v>10</v>
      </c>
      <c r="L9" s="21">
        <f>'Bookings Information'!S11</f>
        <v>41498</v>
      </c>
      <c r="M9" s="21">
        <f>'Bookings Information'!T11</f>
        <v>41500</v>
      </c>
      <c r="N9" s="19" t="str">
        <f>CONCATENATE('Bookings Information'!C11," ",'Bookings Information'!D11," ",'Bookings Information'!E11)</f>
        <v>Mrs Paulina Jebb</v>
      </c>
      <c r="O9" s="20" t="str">
        <f>'Bookings Information'!Y11</f>
        <v>£3.00</v>
      </c>
      <c r="P9" s="20" t="str">
        <f>'Bookings Information'!AA11</f>
        <v>£10.00</v>
      </c>
      <c r="Q9" s="20" t="str">
        <f>'Bookings Information'!AC11</f>
        <v>£10.00</v>
      </c>
      <c r="R9" s="20" t="str">
        <f>'Bookings Information'!W11</f>
        <v>£2.50</v>
      </c>
      <c r="S9" s="20">
        <f>'Bookings Information'!AE11</f>
        <v>45.5</v>
      </c>
      <c r="T9" s="22">
        <f t="shared" ca="1" si="0"/>
        <v>41569</v>
      </c>
    </row>
    <row r="10" spans="1:21" x14ac:dyDescent="0.25">
      <c r="A10" s="11"/>
      <c r="B10" s="11"/>
      <c r="C10" s="11"/>
      <c r="D10" s="10"/>
      <c r="E10" s="10"/>
      <c r="F10" s="10"/>
      <c r="G10" s="10"/>
      <c r="H10" s="10"/>
      <c r="I10" s="10"/>
      <c r="J10" s="11"/>
      <c r="K10" s="8"/>
      <c r="L10" s="8"/>
      <c r="M10" s="8"/>
      <c r="N10" s="8"/>
      <c r="O10" s="8"/>
      <c r="P10" s="16"/>
    </row>
    <row r="11" spans="1:21" x14ac:dyDescent="0.25">
      <c r="A11" s="11"/>
      <c r="B11" s="11"/>
      <c r="C11" s="11"/>
      <c r="D11" s="10"/>
      <c r="E11" s="10"/>
      <c r="F11" s="10"/>
      <c r="G11" s="10"/>
      <c r="H11" s="10"/>
      <c r="I11" s="10"/>
      <c r="J11" s="11"/>
      <c r="K11" s="8"/>
      <c r="L11" s="8"/>
      <c r="M11" s="8"/>
      <c r="N11" s="8"/>
      <c r="O11" s="8"/>
      <c r="P11" s="8"/>
    </row>
    <row r="12" spans="1:21" x14ac:dyDescent="0.25">
      <c r="A12" s="11"/>
      <c r="B12" s="11"/>
      <c r="C12" s="11"/>
      <c r="D12" s="10"/>
      <c r="E12" s="10"/>
      <c r="F12" s="10"/>
      <c r="G12" s="10"/>
      <c r="H12" s="10"/>
      <c r="I12" s="10"/>
      <c r="J12" s="11"/>
      <c r="K12" s="8"/>
      <c r="L12" s="8"/>
      <c r="M12" s="8"/>
      <c r="N12" s="8"/>
      <c r="O12" s="8"/>
      <c r="P12" s="8"/>
    </row>
    <row r="13" spans="1:21" x14ac:dyDescent="0.25">
      <c r="A13" s="11"/>
      <c r="B13" s="11"/>
      <c r="C13" s="11"/>
      <c r="D13" s="10"/>
      <c r="E13" s="10"/>
      <c r="F13" s="10"/>
      <c r="G13" s="10"/>
      <c r="H13" s="10"/>
      <c r="I13" s="10"/>
      <c r="J13" s="11"/>
      <c r="K13" s="8"/>
      <c r="L13" s="8"/>
      <c r="M13" s="8"/>
      <c r="N13" s="8"/>
      <c r="O13" s="8"/>
      <c r="P13" s="8"/>
    </row>
    <row r="14" spans="1:21" x14ac:dyDescent="0.25">
      <c r="A14" s="11"/>
      <c r="B14" s="11"/>
      <c r="C14" s="11"/>
      <c r="D14" s="10"/>
      <c r="E14" s="10"/>
      <c r="F14" s="10"/>
      <c r="G14" s="10"/>
      <c r="H14" s="10"/>
      <c r="I14" s="10"/>
      <c r="J14" s="11"/>
      <c r="K14" s="8"/>
      <c r="L14" s="8"/>
      <c r="M14" s="8"/>
      <c r="N14" s="8"/>
      <c r="O14" s="8"/>
      <c r="P14" s="8"/>
    </row>
    <row r="15" spans="1:21" x14ac:dyDescent="0.25">
      <c r="A15" s="11"/>
      <c r="B15" s="11"/>
      <c r="C15" s="11"/>
      <c r="D15" s="10"/>
      <c r="E15" s="10"/>
      <c r="F15" s="10"/>
      <c r="G15" s="10"/>
      <c r="H15" s="10"/>
      <c r="I15" s="10"/>
      <c r="J15" s="11"/>
      <c r="K15" s="8"/>
      <c r="L15" s="8"/>
      <c r="M15" s="8"/>
      <c r="N15" s="8"/>
      <c r="O15" s="8"/>
      <c r="P15" s="8"/>
    </row>
    <row r="16" spans="1:21" x14ac:dyDescent="0.25">
      <c r="A16" s="11"/>
      <c r="B16" s="11"/>
      <c r="C16" s="11"/>
      <c r="D16" s="10"/>
      <c r="E16" s="10"/>
      <c r="F16" s="10"/>
      <c r="G16" s="10"/>
      <c r="H16" s="10"/>
      <c r="I16" s="10"/>
      <c r="J16" s="11"/>
      <c r="K16" s="8"/>
      <c r="L16" s="8"/>
      <c r="M16" s="8"/>
      <c r="N16" s="8"/>
      <c r="O16" s="8"/>
      <c r="P16" s="8"/>
    </row>
    <row r="17" spans="1:16" x14ac:dyDescent="0.25">
      <c r="A17" s="11"/>
      <c r="B17" s="11"/>
      <c r="C17" s="11"/>
      <c r="D17" s="10"/>
      <c r="E17" s="10"/>
      <c r="F17" s="10"/>
      <c r="G17" s="10"/>
      <c r="H17" s="10"/>
      <c r="I17" s="10"/>
      <c r="J17" s="11"/>
      <c r="K17" s="8"/>
      <c r="L17" s="8"/>
      <c r="M17" s="8"/>
      <c r="N17" s="8"/>
      <c r="O17" s="8"/>
      <c r="P17" s="8"/>
    </row>
    <row r="18" spans="1:16" x14ac:dyDescent="0.25">
      <c r="A18" s="8"/>
      <c r="E18" s="10"/>
      <c r="G18" s="9"/>
    </row>
    <row r="19" spans="1:16" x14ac:dyDescent="0.25">
      <c r="A19" s="8"/>
      <c r="E19" s="10"/>
    </row>
    <row r="20" spans="1:16" x14ac:dyDescent="0.25">
      <c r="A20" s="8"/>
      <c r="E20" s="10"/>
    </row>
    <row r="21" spans="1:16" x14ac:dyDescent="0.25">
      <c r="A21" s="8"/>
      <c r="E21" s="10"/>
    </row>
    <row r="22" spans="1:16" x14ac:dyDescent="0.25">
      <c r="A22" s="8"/>
      <c r="E22" s="10"/>
    </row>
    <row r="23" spans="1:16" x14ac:dyDescent="0.25">
      <c r="A23" s="8"/>
    </row>
    <row r="24" spans="1:16" x14ac:dyDescent="0.25">
      <c r="A24" s="8"/>
    </row>
    <row r="25" spans="1:16" x14ac:dyDescent="0.25">
      <c r="A25" s="8"/>
    </row>
  </sheetData>
  <sheetProtection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Halster B+B</vt:lpstr>
      <vt:lpstr>Customer Information</vt:lpstr>
      <vt:lpstr>Bookings Information</vt:lpstr>
      <vt:lpstr>Room Information</vt:lpstr>
      <vt:lpstr>Expenditure</vt:lpstr>
      <vt:lpstr>Invoice</vt:lpstr>
    </vt:vector>
  </TitlesOfParts>
  <Company>The Priory School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Roberts</dc:creator>
  <cp:lastModifiedBy>The Priory School</cp:lastModifiedBy>
  <cp:lastPrinted>2013-10-22T12:33:54Z</cp:lastPrinted>
  <dcterms:created xsi:type="dcterms:W3CDTF">2013-04-15T11:09:15Z</dcterms:created>
  <dcterms:modified xsi:type="dcterms:W3CDTF">2013-10-22T12:35:33Z</dcterms:modified>
</cp:coreProperties>
</file>