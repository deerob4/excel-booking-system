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75" windowWidth="18195" windowHeight="11820" tabRatio="801" activeTab="2"/>
  </bookViews>
  <sheets>
    <sheet name="Halster B+B" sheetId="1" r:id="rId1"/>
    <sheet name="Customer Information" sheetId="6" r:id="rId2"/>
    <sheet name="Bookings Information" sheetId="7" r:id="rId3"/>
    <sheet name="Room Information" sheetId="8" r:id="rId4"/>
    <sheet name="Monthly Calculations" sheetId="9" r:id="rId5"/>
    <sheet name="Invoice" sheetId="10" r:id="rId6"/>
    <sheet name="p" sheetId="11" r:id="rId7"/>
    <sheet name="Sheet1" sheetId="12" r:id="rId8"/>
  </sheets>
  <definedNames>
    <definedName name="_xlnm._FilterDatabase" localSheetId="1" hidden="1">'Customer Information'!$A$3:$A$11</definedName>
    <definedName name="data" localSheetId="5">Invoice!#REF!</definedName>
  </definedNames>
  <calcPr calcId="145621"/>
</workbook>
</file>

<file path=xl/calcChain.xml><?xml version="1.0" encoding="utf-8"?>
<calcChain xmlns="http://schemas.openxmlformats.org/spreadsheetml/2006/main">
  <c r="W4" i="7" l="1"/>
  <c r="T4" i="7"/>
  <c r="U4" i="7" s="1"/>
  <c r="M3" i="10" l="1"/>
  <c r="M4" i="10"/>
  <c r="M5" i="10"/>
  <c r="M6" i="10"/>
  <c r="M7" i="10"/>
  <c r="M8" i="10"/>
  <c r="M9" i="10"/>
  <c r="M2" i="10"/>
  <c r="T5" i="7"/>
  <c r="N3" i="10" s="1"/>
  <c r="T6" i="7"/>
  <c r="N4" i="10" s="1"/>
  <c r="T7" i="7"/>
  <c r="N5" i="10" s="1"/>
  <c r="T8" i="7"/>
  <c r="N6" i="10" s="1"/>
  <c r="T9" i="7"/>
  <c r="N7" i="10" s="1"/>
  <c r="T10" i="7"/>
  <c r="N8" i="10" s="1"/>
  <c r="T11" i="7"/>
  <c r="N9" i="10" s="1"/>
  <c r="N2" i="10"/>
  <c r="K1" i="10"/>
  <c r="K3" i="10"/>
  <c r="K4" i="10"/>
  <c r="K5" i="10"/>
  <c r="K6" i="10"/>
  <c r="K7" i="10"/>
  <c r="K8" i="10"/>
  <c r="K9" i="10"/>
  <c r="K2" i="10"/>
  <c r="J2" i="10"/>
  <c r="J3" i="10"/>
  <c r="J4" i="10"/>
  <c r="J5" i="10"/>
  <c r="J6" i="10"/>
  <c r="J7" i="10"/>
  <c r="J8" i="10"/>
  <c r="J9" i="10"/>
  <c r="J1" i="10"/>
  <c r="H1" i="10"/>
  <c r="F1" i="10"/>
  <c r="G1" i="10"/>
  <c r="I1" i="10"/>
  <c r="E1" i="10"/>
  <c r="D1" i="10"/>
  <c r="C1" i="10"/>
  <c r="B1" i="10"/>
  <c r="A2" i="10"/>
  <c r="A3" i="10"/>
  <c r="A4" i="10"/>
  <c r="A5" i="10"/>
  <c r="A6" i="10"/>
  <c r="A7" i="10"/>
  <c r="A8" i="10"/>
  <c r="A9" i="10"/>
  <c r="A1" i="10"/>
  <c r="A1" i="12" l="1"/>
  <c r="Y4" i="7" l="1"/>
  <c r="Y5" i="7"/>
  <c r="Y6" i="7"/>
  <c r="Y7" i="7"/>
  <c r="Y8" i="7"/>
  <c r="Y9" i="7"/>
  <c r="Y10" i="7"/>
  <c r="Y11" i="7"/>
  <c r="U5" i="7" l="1"/>
  <c r="S22" i="7" l="1"/>
  <c r="U6" i="7" l="1"/>
  <c r="U7" i="7"/>
  <c r="U8" i="7"/>
  <c r="U9" i="7"/>
  <c r="U10" i="7"/>
  <c r="U11" i="7"/>
  <c r="Q5" i="7"/>
  <c r="Q6" i="7"/>
  <c r="Q7" i="7"/>
  <c r="Q8" i="7"/>
  <c r="Q9" i="7"/>
  <c r="Q10" i="7"/>
  <c r="Q11" i="7"/>
  <c r="Q4" i="7"/>
  <c r="N11" i="7" l="1"/>
  <c r="N5" i="7"/>
  <c r="N6" i="7"/>
  <c r="N7" i="7"/>
  <c r="N8" i="7"/>
  <c r="N9" i="7"/>
  <c r="N10" i="7"/>
  <c r="N4" i="7"/>
  <c r="P5" i="7"/>
  <c r="P6" i="7"/>
  <c r="P7" i="7"/>
  <c r="P8" i="7"/>
  <c r="P9" i="7"/>
  <c r="P10" i="7"/>
  <c r="P11" i="7"/>
  <c r="P4" i="7"/>
  <c r="O5" i="7"/>
  <c r="O6" i="7"/>
  <c r="O7" i="7"/>
  <c r="O8" i="7"/>
  <c r="O9" i="7"/>
  <c r="O10" i="7"/>
  <c r="O11" i="7"/>
  <c r="O4" i="7"/>
  <c r="L5" i="7"/>
  <c r="I3" i="10" s="1"/>
  <c r="L6" i="7"/>
  <c r="I4" i="10" s="1"/>
  <c r="L7" i="7"/>
  <c r="I5" i="10" s="1"/>
  <c r="L8" i="7"/>
  <c r="I6" i="10" s="1"/>
  <c r="L9" i="7"/>
  <c r="I7" i="10" s="1"/>
  <c r="L10" i="7"/>
  <c r="I8" i="10" s="1"/>
  <c r="L11" i="7"/>
  <c r="I9" i="10" s="1"/>
  <c r="L4" i="7"/>
  <c r="I2" i="10" s="1"/>
  <c r="K5" i="7"/>
  <c r="H3" i="10" s="1"/>
  <c r="K6" i="7"/>
  <c r="H4" i="10" s="1"/>
  <c r="K7" i="7"/>
  <c r="H5" i="10" s="1"/>
  <c r="K8" i="7"/>
  <c r="H6" i="10" s="1"/>
  <c r="K9" i="7"/>
  <c r="H7" i="10" s="1"/>
  <c r="K10" i="7"/>
  <c r="H8" i="10" s="1"/>
  <c r="K11" i="7"/>
  <c r="H9" i="10" s="1"/>
  <c r="K4" i="7"/>
  <c r="H2" i="10" s="1"/>
  <c r="J5" i="7"/>
  <c r="G3" i="10" s="1"/>
  <c r="J6" i="7"/>
  <c r="G4" i="10" s="1"/>
  <c r="J7" i="7"/>
  <c r="G5" i="10" s="1"/>
  <c r="J8" i="7"/>
  <c r="G6" i="10" s="1"/>
  <c r="J9" i="7"/>
  <c r="G7" i="10" s="1"/>
  <c r="J10" i="7"/>
  <c r="G8" i="10" s="1"/>
  <c r="J11" i="7"/>
  <c r="G9" i="10" s="1"/>
  <c r="J4" i="7"/>
  <c r="G2" i="10" s="1"/>
  <c r="I5" i="7"/>
  <c r="F3" i="10" s="1"/>
  <c r="I6" i="7"/>
  <c r="F4" i="10" s="1"/>
  <c r="I7" i="7"/>
  <c r="F5" i="10" s="1"/>
  <c r="I8" i="7"/>
  <c r="F6" i="10" s="1"/>
  <c r="I9" i="7"/>
  <c r="F7" i="10" s="1"/>
  <c r="I10" i="7"/>
  <c r="F8" i="10" s="1"/>
  <c r="I11" i="7"/>
  <c r="F9" i="10" s="1"/>
  <c r="I4" i="7"/>
  <c r="F2" i="10" s="1"/>
  <c r="H5" i="7"/>
  <c r="E3" i="10" s="1"/>
  <c r="H6" i="7"/>
  <c r="E4" i="10" s="1"/>
  <c r="H7" i="7"/>
  <c r="E5" i="10" s="1"/>
  <c r="H8" i="7"/>
  <c r="E6" i="10" s="1"/>
  <c r="H9" i="7"/>
  <c r="E7" i="10" s="1"/>
  <c r="H10" i="7"/>
  <c r="E8" i="10" s="1"/>
  <c r="H11" i="7"/>
  <c r="E9" i="10" s="1"/>
  <c r="H4" i="7"/>
  <c r="E2" i="10" s="1"/>
  <c r="G5" i="7"/>
  <c r="G6" i="7"/>
  <c r="G7" i="7"/>
  <c r="G8" i="7"/>
  <c r="G9" i="7"/>
  <c r="G10" i="7"/>
  <c r="G11" i="7"/>
  <c r="G4" i="7"/>
  <c r="F5" i="7"/>
  <c r="F6" i="7"/>
  <c r="F7" i="7"/>
  <c r="F8" i="7"/>
  <c r="F9" i="7"/>
  <c r="F10" i="7"/>
  <c r="F11" i="7"/>
  <c r="F4" i="7"/>
  <c r="E5" i="7"/>
  <c r="D3" i="10" s="1"/>
  <c r="E6" i="7"/>
  <c r="D4" i="10" s="1"/>
  <c r="E7" i="7"/>
  <c r="D5" i="10" s="1"/>
  <c r="E8" i="7"/>
  <c r="D6" i="10" s="1"/>
  <c r="E9" i="7"/>
  <c r="D7" i="10" s="1"/>
  <c r="E10" i="7"/>
  <c r="D8" i="10" s="1"/>
  <c r="E11" i="7"/>
  <c r="D9" i="10" s="1"/>
  <c r="E4" i="7"/>
  <c r="D2" i="10" s="1"/>
  <c r="D5" i="7"/>
  <c r="C3" i="10" s="1"/>
  <c r="D6" i="7"/>
  <c r="C4" i="10" s="1"/>
  <c r="D7" i="7"/>
  <c r="C5" i="10" s="1"/>
  <c r="D8" i="7"/>
  <c r="C6" i="10" s="1"/>
  <c r="D9" i="7"/>
  <c r="C7" i="10" s="1"/>
  <c r="D10" i="7"/>
  <c r="C8" i="10" s="1"/>
  <c r="D11" i="7"/>
  <c r="C9" i="10" s="1"/>
  <c r="D4" i="7"/>
  <c r="C2" i="10" s="1"/>
  <c r="C4" i="7"/>
  <c r="C5" i="7"/>
  <c r="C6" i="7"/>
  <c r="C7" i="7"/>
  <c r="C8" i="7"/>
  <c r="C9" i="7"/>
  <c r="C10" i="7"/>
  <c r="C11" i="7"/>
  <c r="B9" i="10" l="1"/>
  <c r="O9" i="10"/>
  <c r="B5" i="10"/>
  <c r="O5" i="10"/>
  <c r="B8" i="10"/>
  <c r="O8" i="10"/>
  <c r="B4" i="10"/>
  <c r="O4" i="10"/>
  <c r="B7" i="10"/>
  <c r="O7" i="10"/>
  <c r="B3" i="10"/>
  <c r="O3" i="10"/>
  <c r="B6" i="10"/>
  <c r="O6" i="10"/>
  <c r="B2" i="10"/>
  <c r="O2" i="10"/>
  <c r="P3" i="7"/>
  <c r="O3" i="7"/>
  <c r="M3" i="7"/>
</calcChain>
</file>

<file path=xl/connections.xml><?xml version="1.0" encoding="utf-8"?>
<connections xmlns="http://schemas.openxmlformats.org/spreadsheetml/2006/main">
  <connection id="1" name="data" type="6" refreshedVersion="4" background="1">
    <textPr codePage="932" sourceFile="U:\ICT\Year 10 Core ICT\CA_Dee_Roberts\Booking System\data.txt">
      <textFields>
        <textField/>
      </textFields>
    </textPr>
  </connection>
</connections>
</file>

<file path=xl/sharedStrings.xml><?xml version="1.0" encoding="utf-8"?>
<sst xmlns="http://schemas.openxmlformats.org/spreadsheetml/2006/main" count="179" uniqueCount="93">
  <si>
    <t>Customer ID</t>
  </si>
  <si>
    <t>Title</t>
  </si>
  <si>
    <t>First Name</t>
  </si>
  <si>
    <t>Second Name</t>
  </si>
  <si>
    <t>Address Line 1</t>
  </si>
  <si>
    <t>Address Line 2</t>
  </si>
  <si>
    <t>Address Line 3</t>
  </si>
  <si>
    <t>Address Line 4</t>
  </si>
  <si>
    <t>Address Line 5</t>
  </si>
  <si>
    <t>CUST_001</t>
  </si>
  <si>
    <t>CUST_002</t>
  </si>
  <si>
    <t>CUST_003</t>
  </si>
  <si>
    <t>CUST_004</t>
  </si>
  <si>
    <t>CUST_005</t>
  </si>
  <si>
    <t>CUST_006</t>
  </si>
  <si>
    <t>CUST_007</t>
  </si>
  <si>
    <t>CUST_008</t>
  </si>
  <si>
    <t>Ms</t>
  </si>
  <si>
    <t>Samantha</t>
  </si>
  <si>
    <t>85 Afghan Lane</t>
  </si>
  <si>
    <t>London</t>
  </si>
  <si>
    <t>Westminster</t>
  </si>
  <si>
    <t>England</t>
  </si>
  <si>
    <t>SY7 8EE</t>
  </si>
  <si>
    <t>Mrs</t>
  </si>
  <si>
    <t>Jebb</t>
  </si>
  <si>
    <t>Paulina</t>
  </si>
  <si>
    <t>97 Salmon Street</t>
  </si>
  <si>
    <t>Cheshire</t>
  </si>
  <si>
    <t>Ingoo Plaza</t>
  </si>
  <si>
    <t>Doctor</t>
  </si>
  <si>
    <t>Paul</t>
  </si>
  <si>
    <t>Jacobs</t>
  </si>
  <si>
    <t>32 Chip Avenue</t>
  </si>
  <si>
    <t>Birmingham</t>
  </si>
  <si>
    <t>The Bullring</t>
  </si>
  <si>
    <t>Lord</t>
  </si>
  <si>
    <t>Alan</t>
  </si>
  <si>
    <t>Sugar</t>
  </si>
  <si>
    <t>12 Youview Lane</t>
  </si>
  <si>
    <t>Hampshire</t>
  </si>
  <si>
    <t>Email Address</t>
  </si>
  <si>
    <t>Contact Number</t>
  </si>
  <si>
    <t>iraq@gov.com</t>
  </si>
  <si>
    <t>87864 345678</t>
  </si>
  <si>
    <t>87864 345679</t>
  </si>
  <si>
    <t>87864 345680</t>
  </si>
  <si>
    <t>87864 345681</t>
  </si>
  <si>
    <t>87864 345682</t>
  </si>
  <si>
    <t>87864 345683</t>
  </si>
  <si>
    <t>87864 345684</t>
  </si>
  <si>
    <t>87864 345685</t>
  </si>
  <si>
    <t>Tony</t>
  </si>
  <si>
    <t>Blair</t>
  </si>
  <si>
    <t>Hampshire Row</t>
  </si>
  <si>
    <t>foodie@gmail.com</t>
  </si>
  <si>
    <t xml:space="preserve"> Train Station</t>
  </si>
  <si>
    <t>Reading</t>
  </si>
  <si>
    <t>Room ID</t>
  </si>
  <si>
    <t>RM_01</t>
  </si>
  <si>
    <t>RM_02</t>
  </si>
  <si>
    <t>RM_03</t>
  </si>
  <si>
    <t>RM_04</t>
  </si>
  <si>
    <t>RM_05</t>
  </si>
  <si>
    <t>RM_06</t>
  </si>
  <si>
    <t>RM_07</t>
  </si>
  <si>
    <t>RM_08</t>
  </si>
  <si>
    <t>Room Type</t>
  </si>
  <si>
    <t>Double</t>
  </si>
  <si>
    <t>Twin</t>
  </si>
  <si>
    <t>Room Price</t>
  </si>
  <si>
    <t>Room Availability</t>
  </si>
  <si>
    <t>Booking ID</t>
  </si>
  <si>
    <t>Arrival Date</t>
  </si>
  <si>
    <t>Departure Date</t>
  </si>
  <si>
    <t>Number of Nights</t>
  </si>
  <si>
    <t>Booking Date</t>
  </si>
  <si>
    <t>Days until arrival</t>
  </si>
  <si>
    <t>Room Booked</t>
  </si>
  <si>
    <t>Cleaning Services</t>
  </si>
  <si>
    <t>Internet Access</t>
  </si>
  <si>
    <t>Telephone Access</t>
  </si>
  <si>
    <t>Full Service</t>
  </si>
  <si>
    <t>Room Only</t>
  </si>
  <si>
    <t>Clothes Only</t>
  </si>
  <si>
    <t>Evening</t>
  </si>
  <si>
    <t>Total Price</t>
  </si>
  <si>
    <t>Mornings</t>
  </si>
  <si>
    <t>All hours</t>
  </si>
  <si>
    <t>Afternoons</t>
  </si>
  <si>
    <t>Full Name</t>
  </si>
  <si>
    <t xml:space="preserve">Cleaning </t>
  </si>
  <si>
    <t>Cleaning Charge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</si>
</sst>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6" formatCode="&quot;£&quot;#,##0;[Red]\-&quot;£&quot;#,##0"/>
    <numFmt numFmtId="164" formatCode="&quot;£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6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/>
    <xf numFmtId="0" fontId="0" fillId="0" borderId="1" xfId="0" applyBorder="1" applyAlignment="1">
      <alignment horizontal="center"/>
    </xf>
    <xf numFmtId="0" fontId="2" fillId="0" borderId="1" xfId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6" fontId="0" fillId="0" borderId="1" xfId="0" applyNumberForma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4" borderId="3" xfId="0" applyFill="1" applyBorder="1"/>
    <xf numFmtId="0" fontId="0" fillId="0" borderId="0" xfId="0" applyAlignment="1">
      <alignment horizontal="center"/>
    </xf>
    <xf numFmtId="16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6" fontId="0" fillId="0" borderId="0" xfId="0" applyNumberFormat="1" applyFill="1" applyAlignment="1">
      <alignment horizontal="center"/>
    </xf>
    <xf numFmtId="14" fontId="0" fillId="0" borderId="0" xfId="0" applyNumberFormat="1" applyFill="1" applyAlignment="1">
      <alignment horizontal="center"/>
    </xf>
  </cellXfs>
  <cellStyles count="2">
    <cellStyle name="Hyperlink" xfId="1" builtinId="8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0</xdr:row>
      <xdr:rowOff>238125</xdr:rowOff>
    </xdr:from>
    <xdr:to>
      <xdr:col>18</xdr:col>
      <xdr:colOff>19050</xdr:colOff>
      <xdr:row>0</xdr:row>
      <xdr:rowOff>971550</xdr:rowOff>
    </xdr:to>
    <xdr:sp macro="" textlink="">
      <xdr:nvSpPr>
        <xdr:cNvPr id="2" name="TextBox 1"/>
        <xdr:cNvSpPr txBox="1"/>
      </xdr:nvSpPr>
      <xdr:spPr>
        <a:xfrm>
          <a:off x="885825" y="238125"/>
          <a:ext cx="10106025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Booking System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  <xdr:twoCellAnchor>
    <xdr:from>
      <xdr:col>0</xdr:col>
      <xdr:colOff>1</xdr:colOff>
      <xdr:row>2</xdr:row>
      <xdr:rowOff>57151</xdr:rowOff>
    </xdr:from>
    <xdr:to>
      <xdr:col>3</xdr:col>
      <xdr:colOff>114301</xdr:colOff>
      <xdr:row>6</xdr:row>
      <xdr:rowOff>85725</xdr:rowOff>
    </xdr:to>
    <xdr:sp macro="[0]!custInf" textlink="">
      <xdr:nvSpPr>
        <xdr:cNvPr id="6" name="Rectangle 5"/>
        <xdr:cNvSpPr/>
      </xdr:nvSpPr>
      <xdr:spPr>
        <a:xfrm>
          <a:off x="1" y="1428751"/>
          <a:ext cx="1943100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Customer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15</xdr:col>
      <xdr:colOff>63071</xdr:colOff>
      <xdr:row>2</xdr:row>
      <xdr:rowOff>47626</xdr:rowOff>
    </xdr:from>
    <xdr:to>
      <xdr:col>19</xdr:col>
      <xdr:colOff>9524</xdr:colOff>
      <xdr:row>6</xdr:row>
      <xdr:rowOff>76200</xdr:rowOff>
    </xdr:to>
    <xdr:sp macro="[0]!invoices" textlink="">
      <xdr:nvSpPr>
        <xdr:cNvPr id="12" name="Rectangle 11"/>
        <xdr:cNvSpPr/>
      </xdr:nvSpPr>
      <xdr:spPr>
        <a:xfrm>
          <a:off x="9207071" y="1419226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Invoice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11</xdr:col>
      <xdr:colOff>91646</xdr:colOff>
      <xdr:row>2</xdr:row>
      <xdr:rowOff>47626</xdr:rowOff>
    </xdr:from>
    <xdr:to>
      <xdr:col>15</xdr:col>
      <xdr:colOff>38099</xdr:colOff>
      <xdr:row>6</xdr:row>
      <xdr:rowOff>76200</xdr:rowOff>
    </xdr:to>
    <xdr:sp macro="[0]!monthCalc" textlink="">
      <xdr:nvSpPr>
        <xdr:cNvPr id="13" name="Rectangle 12"/>
        <xdr:cNvSpPr/>
      </xdr:nvSpPr>
      <xdr:spPr>
        <a:xfrm>
          <a:off x="6797246" y="1419226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Monthly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Calculations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3</xdr:col>
      <xdr:colOff>139271</xdr:colOff>
      <xdr:row>2</xdr:row>
      <xdr:rowOff>57151</xdr:rowOff>
    </xdr:from>
    <xdr:to>
      <xdr:col>7</xdr:col>
      <xdr:colOff>85724</xdr:colOff>
      <xdr:row>6</xdr:row>
      <xdr:rowOff>85725</xdr:rowOff>
    </xdr:to>
    <xdr:sp macro="[0]!roomInf" textlink="">
      <xdr:nvSpPr>
        <xdr:cNvPr id="14" name="Rectangle 13"/>
        <xdr:cNvSpPr/>
      </xdr:nvSpPr>
      <xdr:spPr>
        <a:xfrm>
          <a:off x="1968071" y="1428751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Room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7</xdr:col>
      <xdr:colOff>123183</xdr:colOff>
      <xdr:row>2</xdr:row>
      <xdr:rowOff>47626</xdr:rowOff>
    </xdr:from>
    <xdr:to>
      <xdr:col>11</xdr:col>
      <xdr:colOff>57150</xdr:colOff>
      <xdr:row>6</xdr:row>
      <xdr:rowOff>76200</xdr:rowOff>
    </xdr:to>
    <xdr:sp macro="[0]!bookInf" textlink="">
      <xdr:nvSpPr>
        <xdr:cNvPr id="16" name="Rectangle 15"/>
        <xdr:cNvSpPr/>
      </xdr:nvSpPr>
      <xdr:spPr>
        <a:xfrm>
          <a:off x="4390383" y="1419226"/>
          <a:ext cx="2372367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Bookings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0</xdr:row>
      <xdr:rowOff>238125</xdr:rowOff>
    </xdr:from>
    <xdr:to>
      <xdr:col>11</xdr:col>
      <xdr:colOff>123825</xdr:colOff>
      <xdr:row>0</xdr:row>
      <xdr:rowOff>971550</xdr:rowOff>
    </xdr:to>
    <xdr:sp macro="" textlink="">
      <xdr:nvSpPr>
        <xdr:cNvPr id="2" name="TextBox 1"/>
        <xdr:cNvSpPr txBox="1"/>
      </xdr:nvSpPr>
      <xdr:spPr>
        <a:xfrm>
          <a:off x="342900" y="238125"/>
          <a:ext cx="11277600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Customer Information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266700</xdr:rowOff>
    </xdr:from>
    <xdr:to>
      <xdr:col>18</xdr:col>
      <xdr:colOff>161925</xdr:colOff>
      <xdr:row>0</xdr:row>
      <xdr:rowOff>1000125</xdr:rowOff>
    </xdr:to>
    <xdr:sp macro="" textlink="">
      <xdr:nvSpPr>
        <xdr:cNvPr id="3" name="TextBox 2"/>
        <xdr:cNvSpPr txBox="1"/>
      </xdr:nvSpPr>
      <xdr:spPr>
        <a:xfrm>
          <a:off x="66675" y="266700"/>
          <a:ext cx="12277725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Booking Information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561975</xdr:colOff>
      <xdr:row>0</xdr:row>
      <xdr:rowOff>276225</xdr:rowOff>
    </xdr:from>
    <xdr:to>
      <xdr:col>18</xdr:col>
      <xdr:colOff>561975</xdr:colOff>
      <xdr:row>0</xdr:row>
      <xdr:rowOff>1009650</xdr:rowOff>
    </xdr:to>
    <xdr:sp macro="" textlink="">
      <xdr:nvSpPr>
        <xdr:cNvPr id="3" name="TextBox 2"/>
        <xdr:cNvSpPr txBox="1"/>
      </xdr:nvSpPr>
      <xdr:spPr>
        <a:xfrm>
          <a:off x="561975" y="276225"/>
          <a:ext cx="10972800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Room Information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0</xdr:row>
      <xdr:rowOff>238125</xdr:rowOff>
    </xdr:from>
    <xdr:to>
      <xdr:col>18</xdr:col>
      <xdr:colOff>19050</xdr:colOff>
      <xdr:row>0</xdr:row>
      <xdr:rowOff>971550</xdr:rowOff>
    </xdr:to>
    <xdr:sp macro="" textlink="">
      <xdr:nvSpPr>
        <xdr:cNvPr id="3" name="TextBox 2"/>
        <xdr:cNvSpPr txBox="1"/>
      </xdr:nvSpPr>
      <xdr:spPr>
        <a:xfrm>
          <a:off x="885825" y="238125"/>
          <a:ext cx="10106025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Calcualtions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  <xdr:twoCellAnchor>
    <xdr:from>
      <xdr:col>0</xdr:col>
      <xdr:colOff>0</xdr:colOff>
      <xdr:row>2</xdr:row>
      <xdr:rowOff>57150</xdr:rowOff>
    </xdr:from>
    <xdr:to>
      <xdr:col>3</xdr:col>
      <xdr:colOff>114300</xdr:colOff>
      <xdr:row>6</xdr:row>
      <xdr:rowOff>85724</xdr:rowOff>
    </xdr:to>
    <xdr:sp macro="[0]!custInf" textlink="">
      <xdr:nvSpPr>
        <xdr:cNvPr id="4" name="Rectangle 3"/>
        <xdr:cNvSpPr/>
      </xdr:nvSpPr>
      <xdr:spPr>
        <a:xfrm>
          <a:off x="0" y="1428750"/>
          <a:ext cx="1943100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Customer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15</xdr:col>
      <xdr:colOff>63070</xdr:colOff>
      <xdr:row>2</xdr:row>
      <xdr:rowOff>47625</xdr:rowOff>
    </xdr:from>
    <xdr:to>
      <xdr:col>19</xdr:col>
      <xdr:colOff>9523</xdr:colOff>
      <xdr:row>6</xdr:row>
      <xdr:rowOff>76199</xdr:rowOff>
    </xdr:to>
    <xdr:sp macro="[0]!invoices" textlink="">
      <xdr:nvSpPr>
        <xdr:cNvPr id="5" name="Rectangle 4"/>
        <xdr:cNvSpPr/>
      </xdr:nvSpPr>
      <xdr:spPr>
        <a:xfrm>
          <a:off x="9207070" y="1419225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Invoice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11</xdr:col>
      <xdr:colOff>91645</xdr:colOff>
      <xdr:row>2</xdr:row>
      <xdr:rowOff>47625</xdr:rowOff>
    </xdr:from>
    <xdr:to>
      <xdr:col>15</xdr:col>
      <xdr:colOff>38098</xdr:colOff>
      <xdr:row>6</xdr:row>
      <xdr:rowOff>76199</xdr:rowOff>
    </xdr:to>
    <xdr:sp macro="[0]!monthCalc" textlink="">
      <xdr:nvSpPr>
        <xdr:cNvPr id="6" name="Rectangle 5"/>
        <xdr:cNvSpPr/>
      </xdr:nvSpPr>
      <xdr:spPr>
        <a:xfrm>
          <a:off x="6797245" y="1419225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Monthly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Calculations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3</xdr:col>
      <xdr:colOff>139270</xdr:colOff>
      <xdr:row>2</xdr:row>
      <xdr:rowOff>57150</xdr:rowOff>
    </xdr:from>
    <xdr:to>
      <xdr:col>7</xdr:col>
      <xdr:colOff>85723</xdr:colOff>
      <xdr:row>6</xdr:row>
      <xdr:rowOff>85724</xdr:rowOff>
    </xdr:to>
    <xdr:sp macro="[0]!roomInf" textlink="">
      <xdr:nvSpPr>
        <xdr:cNvPr id="7" name="Rectangle 6"/>
        <xdr:cNvSpPr/>
      </xdr:nvSpPr>
      <xdr:spPr>
        <a:xfrm>
          <a:off x="1968070" y="1428750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Room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7</xdr:col>
      <xdr:colOff>123182</xdr:colOff>
      <xdr:row>2</xdr:row>
      <xdr:rowOff>47625</xdr:rowOff>
    </xdr:from>
    <xdr:to>
      <xdr:col>11</xdr:col>
      <xdr:colOff>57149</xdr:colOff>
      <xdr:row>6</xdr:row>
      <xdr:rowOff>76199</xdr:rowOff>
    </xdr:to>
    <xdr:sp macro="[0]!bookInf" textlink="">
      <xdr:nvSpPr>
        <xdr:cNvPr id="8" name="Rectangle 7"/>
        <xdr:cNvSpPr/>
      </xdr:nvSpPr>
      <xdr:spPr>
        <a:xfrm>
          <a:off x="4390382" y="1419225"/>
          <a:ext cx="2372367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Bookings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rtlCol="0" anchor="ctr"/>
      <a:lstStyle>
        <a:defPPr algn="ctr">
          <a:defRPr sz="4400">
            <a:solidFill>
              <a:schemeClr val="bg2"/>
            </a:solidFill>
            <a:latin typeface="Accord SF" pitchFamily="2" charset="0"/>
            <a:cs typeface="Aharoni" pitchFamily="2" charset="-79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iraq@gov.com" TargetMode="External"/><Relationship Id="rId3" Type="http://schemas.openxmlformats.org/officeDocument/2006/relationships/hyperlink" Target="mailto:foodie@gmail.com" TargetMode="External"/><Relationship Id="rId7" Type="http://schemas.openxmlformats.org/officeDocument/2006/relationships/hyperlink" Target="mailto:iraq@gov.com" TargetMode="External"/><Relationship Id="rId2" Type="http://schemas.openxmlformats.org/officeDocument/2006/relationships/hyperlink" Target="mailto:foodie@gmail.com" TargetMode="External"/><Relationship Id="rId1" Type="http://schemas.openxmlformats.org/officeDocument/2006/relationships/hyperlink" Target="mailto:iraq@gov.com" TargetMode="External"/><Relationship Id="rId6" Type="http://schemas.openxmlformats.org/officeDocument/2006/relationships/hyperlink" Target="mailto:iraq@gov.com" TargetMode="External"/><Relationship Id="rId5" Type="http://schemas.openxmlformats.org/officeDocument/2006/relationships/hyperlink" Target="mailto:foodie@gmail.com" TargetMode="External"/><Relationship Id="rId4" Type="http://schemas.openxmlformats.org/officeDocument/2006/relationships/hyperlink" Target="mailto:foodie@gmail.com" TargetMode="External"/><Relationship Id="rId9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 tint="0.34998626667073579"/>
  </sheetPr>
  <dimension ref="A1:T2"/>
  <sheetViews>
    <sheetView workbookViewId="0">
      <selection activeCell="D30" sqref="D30"/>
    </sheetView>
  </sheetViews>
  <sheetFormatPr defaultRowHeight="15" x14ac:dyDescent="0.25"/>
  <sheetData>
    <row r="1" spans="1:20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3"/>
    </row>
    <row r="2" spans="1:2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59999389629810485"/>
  </sheetPr>
  <dimension ref="A1:W11"/>
  <sheetViews>
    <sheetView topLeftCell="D1" workbookViewId="0">
      <selection activeCell="D31" sqref="D31"/>
    </sheetView>
  </sheetViews>
  <sheetFormatPr defaultRowHeight="15" x14ac:dyDescent="0.25"/>
  <cols>
    <col min="1" max="1" width="11.85546875" bestFit="1" customWidth="1"/>
    <col min="2" max="2" width="14.140625" customWidth="1"/>
    <col min="3" max="3" width="11.28515625" customWidth="1"/>
    <col min="4" max="4" width="14.42578125" customWidth="1"/>
    <col min="5" max="5" width="23.28515625" customWidth="1"/>
    <col min="6" max="6" width="16.5703125" customWidth="1"/>
    <col min="7" max="7" width="18.85546875" customWidth="1"/>
    <col min="8" max="8" width="15" customWidth="1"/>
    <col min="9" max="9" width="16.7109375" customWidth="1"/>
    <col min="10" max="10" width="14.85546875" customWidth="1"/>
    <col min="11" max="11" width="15.42578125" customWidth="1"/>
    <col min="12" max="12" width="0.140625" customWidth="1"/>
    <col min="13" max="21" width="9.140625" hidden="1" customWidth="1"/>
    <col min="22" max="22" width="14.140625" customWidth="1"/>
  </cols>
  <sheetData>
    <row r="1" spans="1:23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3"/>
    </row>
    <row r="2" spans="1:23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3"/>
    </row>
    <row r="3" spans="1:23" ht="20.25" customHeight="1" x14ac:dyDescent="0.25">
      <c r="A3" s="6" t="s">
        <v>0</v>
      </c>
      <c r="B3" s="6" t="s">
        <v>1</v>
      </c>
      <c r="C3" s="6" t="s">
        <v>2</v>
      </c>
      <c r="D3" s="6" t="s">
        <v>3</v>
      </c>
      <c r="E3" s="6" t="s">
        <v>41</v>
      </c>
      <c r="F3" s="6" t="s">
        <v>42</v>
      </c>
      <c r="G3" s="6" t="s">
        <v>4</v>
      </c>
      <c r="H3" s="6" t="s">
        <v>5</v>
      </c>
      <c r="I3" s="6" t="s">
        <v>6</v>
      </c>
      <c r="J3" s="6" t="s">
        <v>7</v>
      </c>
      <c r="K3" s="6" t="s">
        <v>8</v>
      </c>
      <c r="V3" s="15" t="s">
        <v>78</v>
      </c>
    </row>
    <row r="4" spans="1:23" x14ac:dyDescent="0.25">
      <c r="A4" s="4" t="s">
        <v>9</v>
      </c>
      <c r="B4" s="4" t="s">
        <v>17</v>
      </c>
      <c r="C4" s="4" t="s">
        <v>18</v>
      </c>
      <c r="D4" s="4" t="s">
        <v>53</v>
      </c>
      <c r="E4" s="5" t="s">
        <v>43</v>
      </c>
      <c r="F4" s="4" t="s">
        <v>44</v>
      </c>
      <c r="G4" s="4" t="s">
        <v>19</v>
      </c>
      <c r="H4" s="4" t="s">
        <v>20</v>
      </c>
      <c r="I4" s="4" t="s">
        <v>21</v>
      </c>
      <c r="J4" s="4" t="s">
        <v>22</v>
      </c>
      <c r="K4" s="4" t="s">
        <v>23</v>
      </c>
      <c r="V4" s="13"/>
    </row>
    <row r="5" spans="1:23" x14ac:dyDescent="0.25">
      <c r="A5" s="4" t="s">
        <v>10</v>
      </c>
      <c r="B5" s="4" t="s">
        <v>24</v>
      </c>
      <c r="C5" s="4" t="s">
        <v>26</v>
      </c>
      <c r="D5" s="4" t="s">
        <v>25</v>
      </c>
      <c r="E5" s="5" t="s">
        <v>55</v>
      </c>
      <c r="F5" s="4" t="s">
        <v>45</v>
      </c>
      <c r="G5" s="4" t="s">
        <v>27</v>
      </c>
      <c r="H5" s="4" t="s">
        <v>28</v>
      </c>
      <c r="I5" s="4" t="s">
        <v>29</v>
      </c>
      <c r="J5" s="4" t="s">
        <v>22</v>
      </c>
      <c r="K5" s="4" t="s">
        <v>23</v>
      </c>
      <c r="V5" s="13"/>
    </row>
    <row r="6" spans="1:23" x14ac:dyDescent="0.25">
      <c r="A6" s="4" t="s">
        <v>11</v>
      </c>
      <c r="B6" s="4" t="s">
        <v>30</v>
      </c>
      <c r="C6" s="4" t="s">
        <v>31</v>
      </c>
      <c r="D6" s="4" t="s">
        <v>32</v>
      </c>
      <c r="E6" s="5" t="s">
        <v>43</v>
      </c>
      <c r="F6" s="4" t="s">
        <v>46</v>
      </c>
      <c r="G6" s="4" t="s">
        <v>33</v>
      </c>
      <c r="H6" s="4" t="s">
        <v>34</v>
      </c>
      <c r="I6" s="4" t="s">
        <v>35</v>
      </c>
      <c r="J6" s="4" t="s">
        <v>22</v>
      </c>
      <c r="K6" s="4" t="s">
        <v>23</v>
      </c>
      <c r="V6" s="13"/>
    </row>
    <row r="7" spans="1:23" x14ac:dyDescent="0.25">
      <c r="A7" s="4" t="s">
        <v>12</v>
      </c>
      <c r="B7" s="4" t="s">
        <v>36</v>
      </c>
      <c r="C7" s="4" t="s">
        <v>37</v>
      </c>
      <c r="D7" s="4" t="s">
        <v>38</v>
      </c>
      <c r="E7" s="5" t="s">
        <v>55</v>
      </c>
      <c r="F7" s="4" t="s">
        <v>47</v>
      </c>
      <c r="G7" s="4" t="s">
        <v>39</v>
      </c>
      <c r="H7" s="4" t="s">
        <v>20</v>
      </c>
      <c r="I7" s="4" t="s">
        <v>40</v>
      </c>
      <c r="J7" s="4" t="s">
        <v>22</v>
      </c>
      <c r="K7" s="4" t="s">
        <v>23</v>
      </c>
      <c r="V7" s="13"/>
    </row>
    <row r="8" spans="1:23" x14ac:dyDescent="0.25">
      <c r="A8" s="4" t="s">
        <v>13</v>
      </c>
      <c r="B8" s="4" t="s">
        <v>30</v>
      </c>
      <c r="C8" s="4" t="s">
        <v>52</v>
      </c>
      <c r="D8" s="4" t="s">
        <v>53</v>
      </c>
      <c r="E8" s="5" t="s">
        <v>43</v>
      </c>
      <c r="F8" s="4" t="s">
        <v>48</v>
      </c>
      <c r="G8" s="4" t="s">
        <v>54</v>
      </c>
      <c r="H8" s="4" t="s">
        <v>57</v>
      </c>
      <c r="I8" s="4" t="s">
        <v>56</v>
      </c>
      <c r="J8" s="4" t="s">
        <v>22</v>
      </c>
      <c r="K8" s="4" t="s">
        <v>23</v>
      </c>
      <c r="V8" s="13"/>
    </row>
    <row r="9" spans="1:23" x14ac:dyDescent="0.25">
      <c r="A9" s="4" t="s">
        <v>14</v>
      </c>
      <c r="B9" s="4" t="s">
        <v>17</v>
      </c>
      <c r="C9" s="4" t="s">
        <v>18</v>
      </c>
      <c r="D9" s="4" t="s">
        <v>53</v>
      </c>
      <c r="E9" s="5" t="s">
        <v>55</v>
      </c>
      <c r="F9" s="4" t="s">
        <v>49</v>
      </c>
      <c r="G9" s="4" t="s">
        <v>19</v>
      </c>
      <c r="H9" s="4" t="s">
        <v>20</v>
      </c>
      <c r="I9" s="4" t="s">
        <v>40</v>
      </c>
      <c r="J9" s="4" t="s">
        <v>22</v>
      </c>
      <c r="K9" s="4" t="s">
        <v>23</v>
      </c>
      <c r="V9" s="13"/>
    </row>
    <row r="10" spans="1:23" x14ac:dyDescent="0.25">
      <c r="A10" s="4" t="s">
        <v>15</v>
      </c>
      <c r="B10" s="4" t="s">
        <v>30</v>
      </c>
      <c r="C10" s="4" t="s">
        <v>31</v>
      </c>
      <c r="D10" s="4" t="s">
        <v>32</v>
      </c>
      <c r="E10" s="5" t="s">
        <v>43</v>
      </c>
      <c r="F10" s="4" t="s">
        <v>50</v>
      </c>
      <c r="G10" s="4" t="s">
        <v>33</v>
      </c>
      <c r="H10" s="4" t="s">
        <v>20</v>
      </c>
      <c r="I10" s="4" t="s">
        <v>40</v>
      </c>
      <c r="J10" s="4" t="s">
        <v>22</v>
      </c>
      <c r="K10" s="4" t="s">
        <v>23</v>
      </c>
      <c r="V10" s="14"/>
    </row>
    <row r="11" spans="1:23" x14ac:dyDescent="0.25">
      <c r="A11" s="4" t="s">
        <v>16</v>
      </c>
      <c r="B11" s="4" t="s">
        <v>24</v>
      </c>
      <c r="C11" s="4" t="s">
        <v>26</v>
      </c>
      <c r="D11" s="4" t="s">
        <v>25</v>
      </c>
      <c r="E11" s="5" t="s">
        <v>55</v>
      </c>
      <c r="F11" s="4" t="s">
        <v>51</v>
      </c>
      <c r="G11" s="4" t="s">
        <v>54</v>
      </c>
      <c r="H11" s="4" t="s">
        <v>20</v>
      </c>
      <c r="I11" s="4" t="s">
        <v>40</v>
      </c>
      <c r="J11" s="4" t="s">
        <v>22</v>
      </c>
      <c r="K11" s="4" t="s">
        <v>23</v>
      </c>
      <c r="V11" s="14"/>
    </row>
  </sheetData>
  <sortState ref="A4:K11">
    <sortCondition ref="A4:A11"/>
  </sortState>
  <dataValidations count="3">
    <dataValidation type="list" allowBlank="1" showInputMessage="1" showErrorMessage="1" sqref="B4:B11">
      <formula1>"Please choose title,Mr,Mrs,Ms,Sir,Doctor,Lord"</formula1>
    </dataValidation>
    <dataValidation type="textLength" allowBlank="1" showInputMessage="1" showErrorMessage="1" errorTitle="Invalid Input" error="Postcodes cannot be longer than six characters." sqref="K4:K11">
      <formula1>1</formula1>
      <formula2>6</formula2>
    </dataValidation>
    <dataValidation type="list" allowBlank="1" showInputMessage="1" showErrorMessage="1" sqref="A4:A11">
      <formula1>$A$4:$A$11</formula1>
    </dataValidation>
  </dataValidations>
  <hyperlinks>
    <hyperlink ref="E4" r:id="rId1"/>
    <hyperlink ref="E5" r:id="rId2"/>
    <hyperlink ref="E7" r:id="rId3"/>
    <hyperlink ref="E9" r:id="rId4"/>
    <hyperlink ref="E11" r:id="rId5"/>
    <hyperlink ref="E6" r:id="rId6"/>
    <hyperlink ref="E8" r:id="rId7"/>
    <hyperlink ref="E10" r:id="rId8"/>
  </hyperlinks>
  <pageMargins left="0.7" right="0.7" top="0.75" bottom="0.75" header="0.3" footer="0.3"/>
  <drawing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Y22"/>
  <sheetViews>
    <sheetView tabSelected="1" topLeftCell="N1" zoomScaleNormal="100" workbookViewId="0">
      <selection activeCell="W5" sqref="W5"/>
    </sheetView>
  </sheetViews>
  <sheetFormatPr defaultRowHeight="15" x14ac:dyDescent="0.25"/>
  <cols>
    <col min="1" max="1" width="11.85546875" customWidth="1"/>
    <col min="2" max="2" width="12" customWidth="1"/>
    <col min="3" max="3" width="12.7109375" customWidth="1"/>
    <col min="4" max="4" width="11.5703125" customWidth="1"/>
    <col min="5" max="5" width="14" customWidth="1"/>
    <col min="6" max="6" width="20.5703125" customWidth="1"/>
    <col min="7" max="7" width="16.5703125" customWidth="1"/>
    <col min="8" max="8" width="17.140625" customWidth="1"/>
    <col min="9" max="9" width="14.85546875" customWidth="1"/>
    <col min="10" max="10" width="15.42578125" customWidth="1"/>
    <col min="11" max="11" width="14.85546875" customWidth="1"/>
    <col min="12" max="12" width="14" customWidth="1"/>
    <col min="13" max="13" width="10.7109375" customWidth="1"/>
    <col min="14" max="14" width="11.140625" customWidth="1"/>
    <col min="15" max="15" width="12.7109375" customWidth="1"/>
    <col min="16" max="16" width="17.7109375" customWidth="1"/>
    <col min="17" max="17" width="15.85546875" customWidth="1"/>
    <col min="18" max="18" width="16.42578125" customWidth="1"/>
    <col min="19" max="19" width="12.42578125" customWidth="1"/>
    <col min="20" max="20" width="15.85546875" customWidth="1"/>
    <col min="21" max="21" width="16.85546875" bestFit="1" customWidth="1"/>
    <col min="22" max="22" width="18.28515625" bestFit="1" customWidth="1"/>
    <col min="23" max="23" width="15.42578125" bestFit="1" customWidth="1"/>
    <col min="24" max="24" width="15.85546875" customWidth="1"/>
    <col min="25" max="25" width="17" bestFit="1" customWidth="1"/>
  </cols>
  <sheetData>
    <row r="1" spans="1:25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3" spans="1:25" x14ac:dyDescent="0.25">
      <c r="A3" s="4" t="s">
        <v>72</v>
      </c>
      <c r="B3" s="4" t="s">
        <v>0</v>
      </c>
      <c r="C3" s="10" t="s">
        <v>1</v>
      </c>
      <c r="D3" s="10" t="s">
        <v>2</v>
      </c>
      <c r="E3" s="10" t="s">
        <v>3</v>
      </c>
      <c r="F3" s="10" t="s">
        <v>41</v>
      </c>
      <c r="G3" s="10" t="s">
        <v>42</v>
      </c>
      <c r="H3" s="10" t="s">
        <v>4</v>
      </c>
      <c r="I3" s="10" t="s">
        <v>5</v>
      </c>
      <c r="J3" s="10" t="s">
        <v>6</v>
      </c>
      <c r="K3" s="10" t="s">
        <v>7</v>
      </c>
      <c r="L3" s="10" t="s">
        <v>8</v>
      </c>
      <c r="M3" s="4" t="str">
        <f>'Room Information'!A3</f>
        <v>Room ID</v>
      </c>
      <c r="N3" s="4" t="s">
        <v>67</v>
      </c>
      <c r="O3" s="4" t="str">
        <f>'Room Information'!C3</f>
        <v>Room Price</v>
      </c>
      <c r="P3" s="4" t="str">
        <f>'Room Information'!D3</f>
        <v>Room Availability</v>
      </c>
      <c r="Q3" s="4" t="s">
        <v>76</v>
      </c>
      <c r="R3" s="4" t="s">
        <v>77</v>
      </c>
      <c r="S3" s="4" t="s">
        <v>73</v>
      </c>
      <c r="T3" s="4" t="s">
        <v>74</v>
      </c>
      <c r="U3" s="4" t="s">
        <v>75</v>
      </c>
      <c r="V3" s="10" t="s">
        <v>79</v>
      </c>
      <c r="W3" s="10" t="s">
        <v>92</v>
      </c>
      <c r="X3" s="10" t="s">
        <v>80</v>
      </c>
      <c r="Y3" s="10" t="s">
        <v>81</v>
      </c>
    </row>
    <row r="4" spans="1:25" x14ac:dyDescent="0.25">
      <c r="A4" s="4"/>
      <c r="B4" s="4" t="s">
        <v>9</v>
      </c>
      <c r="C4" s="4" t="str">
        <f>VLOOKUP(B4,'Customer Information'!$A$4:$K$11,2,FALSE)</f>
        <v>Ms</v>
      </c>
      <c r="D4" s="4" t="str">
        <f>VLOOKUP(B4,'Customer Information'!$A$4:$K$11,3,FALSE)</f>
        <v>Samantha</v>
      </c>
      <c r="E4" s="4" t="str">
        <f>VLOOKUP(B4,'Customer Information'!$A$4:$K$11,4,FALSE)</f>
        <v>Blair</v>
      </c>
      <c r="F4" s="4" t="str">
        <f>VLOOKUP(B4,'Customer Information'!$A$4:$K$11,5,FALSE)</f>
        <v>iraq@gov.com</v>
      </c>
      <c r="G4" s="4" t="str">
        <f>VLOOKUP(B4,'Customer Information'!$A$4:$K$11,6,FALSE)</f>
        <v>87864 345678</v>
      </c>
      <c r="H4" s="4" t="str">
        <f>VLOOKUP(B4,'Customer Information'!$A$4:$K$11,7,FALSE)</f>
        <v>85 Afghan Lane</v>
      </c>
      <c r="I4" s="4" t="str">
        <f>VLOOKUP(B4,'Customer Information'!$A$4:$K$11,8,FALSE)</f>
        <v>London</v>
      </c>
      <c r="J4" s="4" t="str">
        <f>VLOOKUP(B4,'Customer Information'!$A$4:$K$11,9,FALSE)</f>
        <v>Westminster</v>
      </c>
      <c r="K4" s="4" t="str">
        <f>VLOOKUP(B4,'Customer Information'!$A$4:$K$11,10,FALSE)</f>
        <v>England</v>
      </c>
      <c r="L4" s="4" t="str">
        <f>VLOOKUP(B4,'Customer Information'!$A$4:$K$11,11,FALSE)</f>
        <v>SY7 8EE</v>
      </c>
      <c r="M4" s="4" t="s">
        <v>59</v>
      </c>
      <c r="N4" s="4" t="str">
        <f>VLOOKUP(M4,'Room Information'!$A$4:$D$11,2,FALSE)</f>
        <v>Twin</v>
      </c>
      <c r="O4" s="12">
        <f>VLOOKUP(M4,'Room Information'!$A$4:$D$11,3,FALSE)</f>
        <v>10</v>
      </c>
      <c r="P4" s="4">
        <f>VLOOKUP(M4,'Room Information'!$A$4:$D$11,4,FALSE)</f>
        <v>0</v>
      </c>
      <c r="Q4" s="11">
        <f ca="1">TODAY()</f>
        <v>41456</v>
      </c>
      <c r="R4" s="4"/>
      <c r="S4" s="11">
        <v>41366</v>
      </c>
      <c r="T4" s="11" t="str">
        <f ca="1">CONCATENATE(RANDBETWEEN(1,30),"/",RANDBETWEEN(1,12),"/","2013")</f>
        <v>24/9/2013</v>
      </c>
      <c r="U4" s="4" t="str">
        <f ca="1">CONCATENATE(DAYS360(S4,T4)," ","Nights",)</f>
        <v>172 Nights</v>
      </c>
      <c r="V4" s="13" t="s">
        <v>83</v>
      </c>
      <c r="W4" s="13" t="e">
        <f>I</f>
        <v>#NAME?</v>
      </c>
      <c r="X4" s="4" t="s">
        <v>85</v>
      </c>
      <c r="Y4" s="4">
        <f>SUM(X4:X4)</f>
        <v>0</v>
      </c>
    </row>
    <row r="5" spans="1:25" x14ac:dyDescent="0.25">
      <c r="A5" s="4"/>
      <c r="B5" s="4" t="s">
        <v>10</v>
      </c>
      <c r="C5" s="4" t="str">
        <f>VLOOKUP(B5,'Customer Information'!$A$4:$K$11,2,FALSE)</f>
        <v>Mrs</v>
      </c>
      <c r="D5" s="4" t="str">
        <f>VLOOKUP(B5,'Customer Information'!$A$4:$K$11,3,FALSE)</f>
        <v>Paulina</v>
      </c>
      <c r="E5" s="4" t="str">
        <f>VLOOKUP(B5,'Customer Information'!$A$4:$K$11,4,FALSE)</f>
        <v>Jebb</v>
      </c>
      <c r="F5" s="4" t="str">
        <f>VLOOKUP(B5,'Customer Information'!$A$4:$K$11,5,FALSE)</f>
        <v>foodie@gmail.com</v>
      </c>
      <c r="G5" s="4" t="str">
        <f>VLOOKUP(B5,'Customer Information'!$A$4:$K$11,6,FALSE)</f>
        <v>87864 345679</v>
      </c>
      <c r="H5" s="4" t="str">
        <f>VLOOKUP(B5,'Customer Information'!$A$4:$K$11,7,FALSE)</f>
        <v>97 Salmon Street</v>
      </c>
      <c r="I5" s="4" t="str">
        <f>VLOOKUP(B5,'Customer Information'!$A$4:$K$11,8,FALSE)</f>
        <v>Cheshire</v>
      </c>
      <c r="J5" s="4" t="str">
        <f>VLOOKUP(B5,'Customer Information'!$A$4:$K$11,9,FALSE)</f>
        <v>Ingoo Plaza</v>
      </c>
      <c r="K5" s="4" t="str">
        <f>VLOOKUP(B5,'Customer Information'!$A$4:$K$11,10,FALSE)</f>
        <v>England</v>
      </c>
      <c r="L5" s="4" t="str">
        <f>VLOOKUP(B5,'Customer Information'!$A$4:$K$11,11,FALSE)</f>
        <v>SY7 8EE</v>
      </c>
      <c r="M5" s="4" t="s">
        <v>60</v>
      </c>
      <c r="N5" s="4" t="str">
        <f>VLOOKUP(M5,'Room Information'!$A$4:$D$11,2,FALSE)</f>
        <v>Double</v>
      </c>
      <c r="O5" s="12">
        <f>VLOOKUP(M5,'Room Information'!$A$4:$D$11,3,FALSE)</f>
        <v>25</v>
      </c>
      <c r="P5" s="4">
        <f>VLOOKUP(M5,'Room Information'!$A$4:$D$11,4,FALSE)</f>
        <v>0</v>
      </c>
      <c r="Q5" s="11">
        <f t="shared" ref="Q5:Q11" ca="1" si="0">TODAY()</f>
        <v>41456</v>
      </c>
      <c r="R5" s="4"/>
      <c r="S5" s="11">
        <v>41430</v>
      </c>
      <c r="T5" s="11" t="str">
        <f t="shared" ref="T5:T11" ca="1" si="1">CONCATENATE(RANDBETWEEN(1,30),"/",RANDBETWEEN(1,12),"/","2013")</f>
        <v>18/10/2013</v>
      </c>
      <c r="U5" s="4" t="str">
        <f ca="1">CONCATENATE(DAYS360(S5,T5)," ","nights",)</f>
        <v>133 nights</v>
      </c>
      <c r="V5" s="13" t="s">
        <v>83</v>
      </c>
      <c r="W5" s="13"/>
      <c r="X5" s="4" t="s">
        <v>87</v>
      </c>
      <c r="Y5" s="4">
        <f>SUM(X5:X5)</f>
        <v>0</v>
      </c>
    </row>
    <row r="6" spans="1:25" x14ac:dyDescent="0.25">
      <c r="A6" s="4"/>
      <c r="B6" s="4" t="s">
        <v>11</v>
      </c>
      <c r="C6" s="4" t="str">
        <f>VLOOKUP(B6,'Customer Information'!$A$4:$K$11,2,FALSE)</f>
        <v>Doctor</v>
      </c>
      <c r="D6" s="4" t="str">
        <f>VLOOKUP(B6,'Customer Information'!$A$4:$K$11,3,FALSE)</f>
        <v>Paul</v>
      </c>
      <c r="E6" s="4" t="str">
        <f>VLOOKUP(B6,'Customer Information'!$A$4:$K$11,4,FALSE)</f>
        <v>Jacobs</v>
      </c>
      <c r="F6" s="4" t="str">
        <f>VLOOKUP(B6,'Customer Information'!$A$4:$K$11,5,FALSE)</f>
        <v>iraq@gov.com</v>
      </c>
      <c r="G6" s="4" t="str">
        <f>VLOOKUP(B6,'Customer Information'!$A$4:$K$11,6,FALSE)</f>
        <v>87864 345680</v>
      </c>
      <c r="H6" s="4" t="str">
        <f>VLOOKUP(B6,'Customer Information'!$A$4:$K$11,7,FALSE)</f>
        <v>32 Chip Avenue</v>
      </c>
      <c r="I6" s="4" t="str">
        <f>VLOOKUP(B6,'Customer Information'!$A$4:$K$11,8,FALSE)</f>
        <v>Birmingham</v>
      </c>
      <c r="J6" s="4" t="str">
        <f>VLOOKUP(B6,'Customer Information'!$A$4:$K$11,9,FALSE)</f>
        <v>The Bullring</v>
      </c>
      <c r="K6" s="4" t="str">
        <f>VLOOKUP(B6,'Customer Information'!$A$4:$K$11,10,FALSE)</f>
        <v>England</v>
      </c>
      <c r="L6" s="4" t="str">
        <f>VLOOKUP(B6,'Customer Information'!$A$4:$K$11,11,FALSE)</f>
        <v>SY7 8EE</v>
      </c>
      <c r="M6" s="4" t="s">
        <v>61</v>
      </c>
      <c r="N6" s="4" t="str">
        <f>VLOOKUP(M6,'Room Information'!$A$4:$D$11,2,FALSE)</f>
        <v>Twin</v>
      </c>
      <c r="O6" s="12">
        <f>VLOOKUP(M6,'Room Information'!$A$4:$D$11,3,FALSE)</f>
        <v>10</v>
      </c>
      <c r="P6" s="4">
        <f>VLOOKUP(M6,'Room Information'!$A$4:$D$11,4,FALSE)</f>
        <v>0</v>
      </c>
      <c r="Q6" s="11">
        <f t="shared" ca="1" si="0"/>
        <v>41456</v>
      </c>
      <c r="R6" s="4"/>
      <c r="S6" s="11">
        <v>41432</v>
      </c>
      <c r="T6" s="11" t="str">
        <f t="shared" ca="1" si="1"/>
        <v>30/7/2013</v>
      </c>
      <c r="U6" s="4" t="str">
        <f t="shared" ref="U6:U11" ca="1" si="2">CONCATENATE(DAYS360(S6,T6)," ","Nights",)</f>
        <v>53 Nights</v>
      </c>
      <c r="V6" s="13" t="s">
        <v>82</v>
      </c>
      <c r="W6" s="13"/>
      <c r="X6" s="4" t="s">
        <v>88</v>
      </c>
      <c r="Y6" s="4">
        <f>SUM(X6:X6)</f>
        <v>0</v>
      </c>
    </row>
    <row r="7" spans="1:25" x14ac:dyDescent="0.25">
      <c r="A7" s="4"/>
      <c r="B7" s="4" t="s">
        <v>12</v>
      </c>
      <c r="C7" s="4" t="str">
        <f>VLOOKUP(B7,'Customer Information'!$A$4:$K$11,2,FALSE)</f>
        <v>Lord</v>
      </c>
      <c r="D7" s="4" t="str">
        <f>VLOOKUP(B7,'Customer Information'!$A$4:$K$11,3,FALSE)</f>
        <v>Alan</v>
      </c>
      <c r="E7" s="4" t="str">
        <f>VLOOKUP(B7,'Customer Information'!$A$4:$K$11,4,FALSE)</f>
        <v>Sugar</v>
      </c>
      <c r="F7" s="4" t="str">
        <f>VLOOKUP(B7,'Customer Information'!$A$4:$K$11,5,FALSE)</f>
        <v>foodie@gmail.com</v>
      </c>
      <c r="G7" s="4" t="str">
        <f>VLOOKUP(B7,'Customer Information'!$A$4:$K$11,6,FALSE)</f>
        <v>87864 345681</v>
      </c>
      <c r="H7" s="4" t="str">
        <f>VLOOKUP(B7,'Customer Information'!$A$4:$K$11,7,FALSE)</f>
        <v>12 Youview Lane</v>
      </c>
      <c r="I7" s="4" t="str">
        <f>VLOOKUP(B7,'Customer Information'!$A$4:$K$11,8,FALSE)</f>
        <v>London</v>
      </c>
      <c r="J7" s="4" t="str">
        <f>VLOOKUP(B7,'Customer Information'!$A$4:$K$11,9,FALSE)</f>
        <v>Hampshire</v>
      </c>
      <c r="K7" s="4" t="str">
        <f>VLOOKUP(B7,'Customer Information'!$A$4:$K$11,10,FALSE)</f>
        <v>England</v>
      </c>
      <c r="L7" s="4" t="str">
        <f>VLOOKUP(B7,'Customer Information'!$A$4:$K$11,11,FALSE)</f>
        <v>SY7 8EE</v>
      </c>
      <c r="M7" s="4" t="s">
        <v>62</v>
      </c>
      <c r="N7" s="4" t="str">
        <f>VLOOKUP(M7,'Room Information'!$A$4:$D$11,2,FALSE)</f>
        <v>Double</v>
      </c>
      <c r="O7" s="12">
        <f>VLOOKUP(M7,'Room Information'!$A$4:$D$11,3,FALSE)</f>
        <v>25</v>
      </c>
      <c r="P7" s="4">
        <f>VLOOKUP(M7,'Room Information'!$A$4:$D$11,4,FALSE)</f>
        <v>0</v>
      </c>
      <c r="Q7" s="11">
        <f t="shared" ca="1" si="0"/>
        <v>41456</v>
      </c>
      <c r="R7" s="4"/>
      <c r="S7" s="11">
        <v>41433</v>
      </c>
      <c r="T7" s="11" t="str">
        <f t="shared" ca="1" si="1"/>
        <v>7/6/2013</v>
      </c>
      <c r="U7" s="4" t="str">
        <f t="shared" ca="1" si="2"/>
        <v>-1 Nights</v>
      </c>
      <c r="V7" s="13" t="s">
        <v>84</v>
      </c>
      <c r="W7" s="13"/>
      <c r="X7" s="4" t="s">
        <v>89</v>
      </c>
      <c r="Y7" s="4">
        <f>SUM(X7:X7)</f>
        <v>0</v>
      </c>
    </row>
    <row r="8" spans="1:25" x14ac:dyDescent="0.25">
      <c r="A8" s="4"/>
      <c r="B8" s="4" t="s">
        <v>13</v>
      </c>
      <c r="C8" s="4" t="str">
        <f>VLOOKUP(B8,'Customer Information'!$A$4:$K$11,2,FALSE)</f>
        <v>Doctor</v>
      </c>
      <c r="D8" s="4" t="str">
        <f>VLOOKUP(B8,'Customer Information'!$A$4:$K$11,3,FALSE)</f>
        <v>Tony</v>
      </c>
      <c r="E8" s="4" t="str">
        <f>VLOOKUP(B8,'Customer Information'!$A$4:$K$11,4,FALSE)</f>
        <v>Blair</v>
      </c>
      <c r="F8" s="4" t="str">
        <f>VLOOKUP(B8,'Customer Information'!$A$4:$K$11,5,FALSE)</f>
        <v>iraq@gov.com</v>
      </c>
      <c r="G8" s="4" t="str">
        <f>VLOOKUP(B8,'Customer Information'!$A$4:$K$11,6,FALSE)</f>
        <v>87864 345682</v>
      </c>
      <c r="H8" s="4" t="str">
        <f>VLOOKUP(B8,'Customer Information'!$A$4:$K$11,7,FALSE)</f>
        <v>Hampshire Row</v>
      </c>
      <c r="I8" s="4" t="str">
        <f>VLOOKUP(B8,'Customer Information'!$A$4:$K$11,8,FALSE)</f>
        <v>Reading</v>
      </c>
      <c r="J8" s="4" t="str">
        <f>VLOOKUP(B8,'Customer Information'!$A$4:$K$11,9,FALSE)</f>
        <v xml:space="preserve"> Train Station</v>
      </c>
      <c r="K8" s="4" t="str">
        <f>VLOOKUP(B8,'Customer Information'!$A$4:$K$11,10,FALSE)</f>
        <v>England</v>
      </c>
      <c r="L8" s="4" t="str">
        <f>VLOOKUP(B8,'Customer Information'!$A$4:$K$11,11,FALSE)</f>
        <v>SY7 8EE</v>
      </c>
      <c r="M8" s="4" t="s">
        <v>63</v>
      </c>
      <c r="N8" s="4" t="str">
        <f>VLOOKUP(M8,'Room Information'!$A$4:$D$11,2,FALSE)</f>
        <v>Twin</v>
      </c>
      <c r="O8" s="12">
        <f>VLOOKUP(M8,'Room Information'!$A$4:$D$11,3,FALSE)</f>
        <v>10</v>
      </c>
      <c r="P8" s="4">
        <f>VLOOKUP(M8,'Room Information'!$A$4:$D$11,4,FALSE)</f>
        <v>0</v>
      </c>
      <c r="Q8" s="11">
        <f t="shared" ca="1" si="0"/>
        <v>41456</v>
      </c>
      <c r="R8" s="4"/>
      <c r="S8" s="11">
        <v>41434</v>
      </c>
      <c r="T8" s="11" t="str">
        <f t="shared" ca="1" si="1"/>
        <v>12/5/2013</v>
      </c>
      <c r="U8" s="4" t="str">
        <f t="shared" ca="1" si="2"/>
        <v>-27 Nights</v>
      </c>
      <c r="V8" s="13" t="s">
        <v>83</v>
      </c>
      <c r="W8" s="13"/>
      <c r="X8" s="4" t="s">
        <v>87</v>
      </c>
      <c r="Y8" s="4">
        <f>SUM(X8:X8)</f>
        <v>0</v>
      </c>
    </row>
    <row r="9" spans="1:25" x14ac:dyDescent="0.25">
      <c r="A9" s="4"/>
      <c r="B9" s="4" t="s">
        <v>14</v>
      </c>
      <c r="C9" s="4" t="str">
        <f>VLOOKUP(B9,'Customer Information'!$A$4:$K$11,2,FALSE)</f>
        <v>Ms</v>
      </c>
      <c r="D9" s="4" t="str">
        <f>VLOOKUP(B9,'Customer Information'!$A$4:$K$11,3,FALSE)</f>
        <v>Samantha</v>
      </c>
      <c r="E9" s="4" t="str">
        <f>VLOOKUP(B9,'Customer Information'!$A$4:$K$11,4,FALSE)</f>
        <v>Blair</v>
      </c>
      <c r="F9" s="4" t="str">
        <f>VLOOKUP(B9,'Customer Information'!$A$4:$K$11,5,FALSE)</f>
        <v>foodie@gmail.com</v>
      </c>
      <c r="G9" s="4" t="str">
        <f>VLOOKUP(B9,'Customer Information'!$A$4:$K$11,6,FALSE)</f>
        <v>87864 345683</v>
      </c>
      <c r="H9" s="4" t="str">
        <f>VLOOKUP(B9,'Customer Information'!$A$4:$K$11,7,FALSE)</f>
        <v>85 Afghan Lane</v>
      </c>
      <c r="I9" s="4" t="str">
        <f>VLOOKUP(B9,'Customer Information'!$A$4:$K$11,8,FALSE)</f>
        <v>London</v>
      </c>
      <c r="J9" s="4" t="str">
        <f>VLOOKUP(B9,'Customer Information'!$A$4:$K$11,9,FALSE)</f>
        <v>Hampshire</v>
      </c>
      <c r="K9" s="4" t="str">
        <f>VLOOKUP(B9,'Customer Information'!$A$4:$K$11,10,FALSE)</f>
        <v>England</v>
      </c>
      <c r="L9" s="4" t="str">
        <f>VLOOKUP(B9,'Customer Information'!$A$4:$K$11,11,FALSE)</f>
        <v>SY7 8EE</v>
      </c>
      <c r="M9" s="4" t="s">
        <v>64</v>
      </c>
      <c r="N9" s="4" t="str">
        <f>VLOOKUP(M9,'Room Information'!$A$4:$D$11,2,FALSE)</f>
        <v>Double</v>
      </c>
      <c r="O9" s="12">
        <f>VLOOKUP(M9,'Room Information'!$A$4:$D$11,3,FALSE)</f>
        <v>25</v>
      </c>
      <c r="P9" s="4">
        <f>VLOOKUP(M9,'Room Information'!$A$4:$D$11,4,FALSE)</f>
        <v>0</v>
      </c>
      <c r="Q9" s="11">
        <f t="shared" ca="1" si="0"/>
        <v>41456</v>
      </c>
      <c r="R9" s="4"/>
      <c r="S9" s="11">
        <v>41435</v>
      </c>
      <c r="T9" s="11" t="str">
        <f t="shared" ca="1" si="1"/>
        <v>26/8/2013</v>
      </c>
      <c r="U9" s="4" t="str">
        <f t="shared" ca="1" si="2"/>
        <v>76 Nights</v>
      </c>
      <c r="V9" s="13" t="s">
        <v>84</v>
      </c>
      <c r="W9" s="13"/>
      <c r="X9" s="4" t="s">
        <v>87</v>
      </c>
      <c r="Y9" s="4">
        <f>SUM(X9:X9)</f>
        <v>0</v>
      </c>
    </row>
    <row r="10" spans="1:25" x14ac:dyDescent="0.25">
      <c r="A10" s="4"/>
      <c r="B10" s="4" t="s">
        <v>15</v>
      </c>
      <c r="C10" s="4" t="str">
        <f>VLOOKUP(B10,'Customer Information'!$A$4:$K$11,2,FALSE)</f>
        <v>Doctor</v>
      </c>
      <c r="D10" s="4" t="str">
        <f>VLOOKUP(B10,'Customer Information'!$A$4:$K$11,3,FALSE)</f>
        <v>Paul</v>
      </c>
      <c r="E10" s="4" t="str">
        <f>VLOOKUP(B10,'Customer Information'!$A$4:$K$11,4,FALSE)</f>
        <v>Jacobs</v>
      </c>
      <c r="F10" s="4" t="str">
        <f>VLOOKUP(B10,'Customer Information'!$A$4:$K$11,5,FALSE)</f>
        <v>iraq@gov.com</v>
      </c>
      <c r="G10" s="4" t="str">
        <f>VLOOKUP(B10,'Customer Information'!$A$4:$K$11,6,FALSE)</f>
        <v>87864 345684</v>
      </c>
      <c r="H10" s="4" t="str">
        <f>VLOOKUP(B10,'Customer Information'!$A$4:$K$11,7,FALSE)</f>
        <v>32 Chip Avenue</v>
      </c>
      <c r="I10" s="4" t="str">
        <f>VLOOKUP(B10,'Customer Information'!$A$4:$K$11,8,FALSE)</f>
        <v>London</v>
      </c>
      <c r="J10" s="4" t="str">
        <f>VLOOKUP(B10,'Customer Information'!$A$4:$K$11,9,FALSE)</f>
        <v>Hampshire</v>
      </c>
      <c r="K10" s="4" t="str">
        <f>VLOOKUP(B10,'Customer Information'!$A$4:$K$11,10,FALSE)</f>
        <v>England</v>
      </c>
      <c r="L10" s="4" t="str">
        <f>VLOOKUP(B10,'Customer Information'!$A$4:$K$11,11,FALSE)</f>
        <v>SY7 8EE</v>
      </c>
      <c r="M10" s="4" t="s">
        <v>65</v>
      </c>
      <c r="N10" s="4" t="str">
        <f>VLOOKUP(M10,'Room Information'!$A$4:$D$11,2,FALSE)</f>
        <v>Twin</v>
      </c>
      <c r="O10" s="12">
        <f>VLOOKUP(M10,'Room Information'!$A$4:$D$11,3,FALSE)</f>
        <v>10</v>
      </c>
      <c r="P10" s="4">
        <f>VLOOKUP(M10,'Room Information'!$A$4:$D$11,4,FALSE)</f>
        <v>0</v>
      </c>
      <c r="Q10" s="11">
        <f t="shared" ca="1" si="0"/>
        <v>41456</v>
      </c>
      <c r="R10" s="4"/>
      <c r="S10" s="11">
        <v>41436</v>
      </c>
      <c r="T10" s="11" t="str">
        <f t="shared" ca="1" si="1"/>
        <v>15/3/2013</v>
      </c>
      <c r="U10" s="4" t="str">
        <f t="shared" ca="1" si="2"/>
        <v>-86 Nights</v>
      </c>
      <c r="V10" s="13" t="s">
        <v>84</v>
      </c>
      <c r="W10" s="13"/>
      <c r="X10" s="4" t="s">
        <v>85</v>
      </c>
      <c r="Y10" s="4">
        <f>SUM(X10:X10)</f>
        <v>0</v>
      </c>
    </row>
    <row r="11" spans="1:25" x14ac:dyDescent="0.25">
      <c r="A11" s="4"/>
      <c r="B11" s="4" t="s">
        <v>16</v>
      </c>
      <c r="C11" s="4" t="str">
        <f>VLOOKUP(B11,'Customer Information'!$A$4:$K$11,2,FALSE)</f>
        <v>Mrs</v>
      </c>
      <c r="D11" s="4" t="str">
        <f>VLOOKUP(B11,'Customer Information'!$A$4:$K$11,3,FALSE)</f>
        <v>Paulina</v>
      </c>
      <c r="E11" s="4" t="str">
        <f>VLOOKUP(B11,'Customer Information'!$A$4:$K$11,4,FALSE)</f>
        <v>Jebb</v>
      </c>
      <c r="F11" s="4" t="str">
        <f>VLOOKUP(B11,'Customer Information'!$A$4:$K$11,5,FALSE)</f>
        <v>foodie@gmail.com</v>
      </c>
      <c r="G11" s="4" t="str">
        <f>VLOOKUP(B11,'Customer Information'!$A$4:$K$11,6,FALSE)</f>
        <v>87864 345685</v>
      </c>
      <c r="H11" s="4" t="str">
        <f>VLOOKUP(B11,'Customer Information'!$A$4:$K$11,7,FALSE)</f>
        <v>Hampshire Row</v>
      </c>
      <c r="I11" s="4" t="str">
        <f>VLOOKUP(B11,'Customer Information'!$A$4:$K$11,8,FALSE)</f>
        <v>London</v>
      </c>
      <c r="J11" s="4" t="str">
        <f>VLOOKUP(B11,'Customer Information'!$A$4:$K$11,9,FALSE)</f>
        <v>Hampshire</v>
      </c>
      <c r="K11" s="4" t="str">
        <f>VLOOKUP(B11,'Customer Information'!$A$4:$K$11,10,FALSE)</f>
        <v>England</v>
      </c>
      <c r="L11" s="4" t="str">
        <f>VLOOKUP(B11,'Customer Information'!$A$4:$K$11,11,FALSE)</f>
        <v>SY7 8EE</v>
      </c>
      <c r="M11" s="4" t="s">
        <v>66</v>
      </c>
      <c r="N11" s="4" t="str">
        <f>VLOOKUP(M11,'Room Information'!$A$4:$D$11,2,FALSE)</f>
        <v>Double</v>
      </c>
      <c r="O11" s="12">
        <f>VLOOKUP(M11,'Room Information'!$A$4:$D$11,3,FALSE)</f>
        <v>25</v>
      </c>
      <c r="P11" s="4">
        <f>VLOOKUP(M11,'Room Information'!$A$4:$D$11,4,FALSE)</f>
        <v>0</v>
      </c>
      <c r="Q11" s="11">
        <f t="shared" ca="1" si="0"/>
        <v>41456</v>
      </c>
      <c r="R11" s="4"/>
      <c r="S11" s="11">
        <v>41437</v>
      </c>
      <c r="T11" s="11" t="str">
        <f t="shared" ca="1" si="1"/>
        <v>30/8/2013</v>
      </c>
      <c r="U11" s="4" t="str">
        <f t="shared" ca="1" si="2"/>
        <v>78 Nights</v>
      </c>
      <c r="V11" s="13" t="s">
        <v>84</v>
      </c>
      <c r="W11" s="13"/>
      <c r="X11" s="4" t="s">
        <v>88</v>
      </c>
      <c r="Y11" s="4">
        <f>SUM(X11:X11)</f>
        <v>0</v>
      </c>
    </row>
    <row r="12" spans="1:25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20"/>
      <c r="Q12" s="22"/>
      <c r="R12" s="20"/>
      <c r="S12" s="22"/>
      <c r="T12" s="22"/>
      <c r="U12" s="20"/>
      <c r="V12" s="23"/>
      <c r="W12" s="23"/>
      <c r="X12" s="20"/>
      <c r="Y12" s="20"/>
    </row>
    <row r="13" spans="1:25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20"/>
      <c r="Q13" s="22"/>
      <c r="R13" s="20"/>
      <c r="S13" s="22"/>
      <c r="T13" s="22"/>
      <c r="U13" s="20"/>
      <c r="V13" s="23"/>
      <c r="W13" s="23"/>
      <c r="X13" s="20"/>
      <c r="Y13" s="20"/>
    </row>
    <row r="14" spans="1:25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1"/>
      <c r="P14" s="20"/>
      <c r="Q14" s="22"/>
      <c r="R14" s="20"/>
      <c r="S14" s="22"/>
      <c r="T14" s="22"/>
      <c r="U14" s="20"/>
      <c r="V14" s="23"/>
      <c r="W14" s="23"/>
      <c r="X14" s="20"/>
      <c r="Y14" s="20"/>
    </row>
    <row r="15" spans="1:25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20"/>
      <c r="Q15" s="22"/>
      <c r="R15" s="20"/>
      <c r="S15" s="22"/>
      <c r="T15" s="22"/>
      <c r="U15" s="20"/>
      <c r="V15" s="23"/>
      <c r="W15" s="23"/>
      <c r="X15" s="20"/>
      <c r="Y15" s="20"/>
    </row>
    <row r="16" spans="1:25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20"/>
      <c r="Q16" s="22"/>
      <c r="R16" s="20"/>
      <c r="S16" s="22"/>
      <c r="T16" s="22"/>
      <c r="U16" s="20"/>
      <c r="V16" s="23"/>
      <c r="W16" s="23"/>
      <c r="X16" s="20"/>
      <c r="Y16" s="20"/>
    </row>
    <row r="17" spans="1:25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20"/>
      <c r="Q17" s="22"/>
      <c r="R17" s="20"/>
      <c r="S17" s="22"/>
      <c r="T17" s="22"/>
      <c r="U17" s="20"/>
      <c r="V17" s="23"/>
      <c r="W17" s="23"/>
      <c r="X17" s="20"/>
      <c r="Y17" s="20"/>
    </row>
    <row r="18" spans="1:25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20"/>
      <c r="Q18" s="22"/>
      <c r="R18" s="20"/>
      <c r="S18" s="22"/>
      <c r="T18" s="22"/>
      <c r="U18" s="20"/>
      <c r="V18" s="23"/>
      <c r="W18" s="23"/>
      <c r="X18" s="20"/>
      <c r="Y18" s="20"/>
    </row>
    <row r="19" spans="1:25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20"/>
      <c r="Q19" s="22"/>
      <c r="R19" s="20"/>
      <c r="S19" s="22"/>
      <c r="T19" s="22"/>
      <c r="U19" s="20"/>
      <c r="V19" s="23"/>
      <c r="W19" s="23"/>
      <c r="X19" s="20"/>
      <c r="Y19" s="20"/>
    </row>
    <row r="22" spans="1:25" x14ac:dyDescent="0.25">
      <c r="S22" s="13" t="str">
        <f ca="1">IF(LEN(U4)&gt;0,"Room full!","Room free!")</f>
        <v>Room full!</v>
      </c>
    </row>
  </sheetData>
  <dataValidations count="9">
    <dataValidation type="date" allowBlank="1" showInputMessage="1" showErrorMessage="1" errorTitle="Invalid Input" error="You must enter a valid date." sqref="S4:S19">
      <formula1>36526</formula1>
      <formula2>402114</formula2>
    </dataValidation>
    <dataValidation allowBlank="1" showInputMessage="1" showErrorMessage="1" errorTitle="Invalid Input" error="You must enter a number between 1 and 365." sqref="U4:U19"/>
    <dataValidation type="date" allowBlank="1" showInputMessage="1" showErrorMessage="1" errorTitle="Invalid Input" error="You must enter a valid date." sqref="T12:T19">
      <formula1>41275</formula1>
      <formula2>42350</formula2>
    </dataValidation>
    <dataValidation allowBlank="1" showInputMessage="1" showErrorMessage="1" errorTitle="Invalid Input" error="You must input a valid room ID." sqref="N4:N19"/>
    <dataValidation type="list" allowBlank="1" showInputMessage="1" errorTitle="Invalid Input" error="You must select the type of cleaning required." sqref="V4:V19 W12:W19">
      <formula1>"Full Service,Room Only,Clothes Only"</formula1>
    </dataValidation>
    <dataValidation type="list" allowBlank="1" showInputMessage="1" showErrorMessage="1" sqref="X4:X19">
      <formula1>"All hours,Mornings,Afternoons,Evening"</formula1>
    </dataValidation>
    <dataValidation type="list" allowBlank="1" showInputMessage="1" showErrorMessage="1" errorTitle="Invalid Input" error="You must select the amount of time required." sqref="Y4:Y19">
      <formula1>"10 Minutes,20 Minutes,30 Minutes,1 Hour Plus"</formula1>
    </dataValidation>
    <dataValidation allowBlank="1" showInputMessage="1" showErrorMessage="1" errorTitle="Invalid Input" error="You must enter a valid date." sqref="T4:T11"/>
    <dataValidation allowBlank="1" showInputMessage="1" errorTitle="Invalid Input" error="You must select the type of cleaning required." sqref="W4:W11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'Customer Information'!$A$4:$A$11</xm:f>
          </x14:formula1>
          <xm:sqref>B4:B19</xm:sqref>
        </x14:dataValidation>
        <x14:dataValidation type="list" allowBlank="1" showInputMessage="1" showErrorMessage="1" errorTitle="Invalid Input" error="You must input a valid room ID.">
          <x14:formula1>
            <xm:f>'Room Information'!$A$4:$A$11</xm:f>
          </x14:formula1>
          <xm:sqref>M4:M19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T11"/>
  <sheetViews>
    <sheetView workbookViewId="0">
      <selection activeCell="E33" sqref="E33"/>
    </sheetView>
  </sheetViews>
  <sheetFormatPr defaultRowHeight="15" x14ac:dyDescent="0.25"/>
  <cols>
    <col min="1" max="1" width="9.85546875" customWidth="1"/>
    <col min="2" max="3" width="11.42578125" customWidth="1"/>
    <col min="4" max="4" width="18.140625" customWidth="1"/>
  </cols>
  <sheetData>
    <row r="1" spans="1:20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25">
      <c r="A3" s="9" t="s">
        <v>58</v>
      </c>
      <c r="B3" s="9" t="s">
        <v>67</v>
      </c>
      <c r="C3" s="9" t="s">
        <v>70</v>
      </c>
      <c r="D3" s="9" t="s">
        <v>71</v>
      </c>
    </row>
    <row r="4" spans="1:20" x14ac:dyDescent="0.25">
      <c r="A4" s="7" t="s">
        <v>59</v>
      </c>
      <c r="B4" s="7" t="s">
        <v>69</v>
      </c>
      <c r="C4" s="8">
        <v>10</v>
      </c>
      <c r="D4" s="4"/>
    </row>
    <row r="5" spans="1:20" x14ac:dyDescent="0.25">
      <c r="A5" s="7" t="s">
        <v>60</v>
      </c>
      <c r="B5" s="7" t="s">
        <v>68</v>
      </c>
      <c r="C5" s="8">
        <v>25</v>
      </c>
      <c r="D5" s="4"/>
    </row>
    <row r="6" spans="1:20" x14ac:dyDescent="0.25">
      <c r="A6" s="7" t="s">
        <v>61</v>
      </c>
      <c r="B6" s="7" t="s">
        <v>69</v>
      </c>
      <c r="C6" s="8">
        <v>10</v>
      </c>
      <c r="D6" s="4"/>
    </row>
    <row r="7" spans="1:20" x14ac:dyDescent="0.25">
      <c r="A7" s="7" t="s">
        <v>62</v>
      </c>
      <c r="B7" s="7" t="s">
        <v>68</v>
      </c>
      <c r="C7" s="8">
        <v>25</v>
      </c>
      <c r="D7" s="4"/>
    </row>
    <row r="8" spans="1:20" x14ac:dyDescent="0.25">
      <c r="A8" s="7" t="s">
        <v>63</v>
      </c>
      <c r="B8" s="7" t="s">
        <v>69</v>
      </c>
      <c r="C8" s="8">
        <v>10</v>
      </c>
      <c r="D8" s="4"/>
    </row>
    <row r="9" spans="1:20" x14ac:dyDescent="0.25">
      <c r="A9" s="7" t="s">
        <v>64</v>
      </c>
      <c r="B9" s="7" t="s">
        <v>68</v>
      </c>
      <c r="C9" s="8">
        <v>25</v>
      </c>
      <c r="D9" s="4"/>
    </row>
    <row r="10" spans="1:20" x14ac:dyDescent="0.25">
      <c r="A10" s="7" t="s">
        <v>65</v>
      </c>
      <c r="B10" s="7" t="s">
        <v>69</v>
      </c>
      <c r="C10" s="8">
        <v>10</v>
      </c>
      <c r="D10" s="4"/>
    </row>
    <row r="11" spans="1:20" x14ac:dyDescent="0.25">
      <c r="A11" s="7" t="s">
        <v>66</v>
      </c>
      <c r="B11" s="7" t="s">
        <v>68</v>
      </c>
      <c r="C11" s="8">
        <v>25</v>
      </c>
      <c r="D11" s="4"/>
    </row>
  </sheetData>
  <conditionalFormatting sqref="D4:D11">
    <cfRule type="cellIs" dxfId="1" priority="1" operator="equal">
      <formula>"Occupied"</formula>
    </cfRule>
    <cfRule type="cellIs" dxfId="0" priority="2" operator="equal">
      <formula>"Free"</formula>
    </cfRule>
  </conditionalFormatting>
  <dataValidations count="2">
    <dataValidation type="list" allowBlank="1" showInputMessage="1" showErrorMessage="1" errorTitle="Invalid Input" error="Only twin and double rooms are available." sqref="B4:B11">
      <formula1>"Twin,Double"</formula1>
    </dataValidation>
    <dataValidation allowBlank="1" showInputMessage="1" showErrorMessage="1" errorTitle="Invalid Input" error="Rooms must be free or occupied." sqref="D4:D11"/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S2"/>
  <sheetViews>
    <sheetView workbookViewId="0">
      <selection activeCell="H32" sqref="H32"/>
    </sheetView>
  </sheetViews>
  <sheetFormatPr defaultRowHeight="15" x14ac:dyDescent="0.25"/>
  <sheetData>
    <row r="1" spans="1:19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39997558519241921"/>
  </sheetPr>
  <dimension ref="A1:T25"/>
  <sheetViews>
    <sheetView topLeftCell="H1" workbookViewId="0">
      <selection activeCell="K37" sqref="K37"/>
    </sheetView>
  </sheetViews>
  <sheetFormatPr defaultRowHeight="15" x14ac:dyDescent="0.25"/>
  <cols>
    <col min="1" max="1" width="15.5703125" customWidth="1"/>
    <col min="2" max="2" width="11.85546875" customWidth="1"/>
    <col min="3" max="3" width="19" bestFit="1" customWidth="1"/>
    <col min="4" max="4" width="18.5703125" customWidth="1"/>
    <col min="5" max="5" width="16" bestFit="1" customWidth="1"/>
    <col min="6" max="6" width="14.140625" customWidth="1"/>
    <col min="7" max="7" width="16.140625" customWidth="1"/>
    <col min="8" max="8" width="16.5703125" customWidth="1"/>
    <col min="9" max="9" width="16.42578125" customWidth="1"/>
    <col min="10" max="10" width="11.28515625" customWidth="1"/>
    <col min="11" max="11" width="11" bestFit="1" customWidth="1"/>
    <col min="12" max="12" width="12.28515625" customWidth="1"/>
    <col min="13" max="13" width="20.140625" customWidth="1"/>
    <col min="14" max="14" width="18.5703125" customWidth="1"/>
    <col min="15" max="15" width="17.42578125" bestFit="1" customWidth="1"/>
  </cols>
  <sheetData>
    <row r="1" spans="1:20" ht="15" customHeight="1" x14ac:dyDescent="0.25">
      <c r="A1" s="19" t="str">
        <f>'Bookings Information'!A3</f>
        <v>Booking ID</v>
      </c>
      <c r="B1" s="19" t="str">
        <f>'Bookings Information'!C3</f>
        <v>Title</v>
      </c>
      <c r="C1" s="19" t="str">
        <f>'Bookings Information'!D3</f>
        <v>First Name</v>
      </c>
      <c r="D1" s="18" t="str">
        <f>'Bookings Information'!E3</f>
        <v>Second Name</v>
      </c>
      <c r="E1" s="18" t="str">
        <f>'Bookings Information'!H3</f>
        <v>Address Line 1</v>
      </c>
      <c r="F1" s="18" t="str">
        <f>'Bookings Information'!I3</f>
        <v>Address Line 2</v>
      </c>
      <c r="G1" s="18" t="str">
        <f>'Bookings Information'!J3</f>
        <v>Address Line 3</v>
      </c>
      <c r="H1" s="18" t="str">
        <f>'Bookings Information'!K3</f>
        <v>Address Line 4</v>
      </c>
      <c r="I1" s="18" t="str">
        <f>'Bookings Information'!L3</f>
        <v>Address Line 5</v>
      </c>
      <c r="J1" s="19" t="str">
        <f>'Room Information'!B3</f>
        <v>Room Type</v>
      </c>
      <c r="K1" t="str">
        <f>'Room Information'!C3</f>
        <v>Room Price</v>
      </c>
      <c r="L1" s="19" t="s">
        <v>86</v>
      </c>
      <c r="M1" s="19" t="s">
        <v>73</v>
      </c>
      <c r="N1" s="19" t="s">
        <v>74</v>
      </c>
      <c r="O1" s="19" t="s">
        <v>90</v>
      </c>
      <c r="P1" s="19" t="s">
        <v>91</v>
      </c>
      <c r="Q1" s="19"/>
      <c r="R1" s="3"/>
      <c r="S1" s="3"/>
      <c r="T1" s="3"/>
    </row>
    <row r="2" spans="1:20" x14ac:dyDescent="0.25">
      <c r="A2" s="19">
        <f>'Bookings Information'!A4</f>
        <v>0</v>
      </c>
      <c r="B2" s="19" t="str">
        <f>'Bookings Information'!C4</f>
        <v>Ms</v>
      </c>
      <c r="C2" s="19" t="str">
        <f>'Bookings Information'!D4</f>
        <v>Samantha</v>
      </c>
      <c r="D2" s="18" t="str">
        <f>'Bookings Information'!E4</f>
        <v>Blair</v>
      </c>
      <c r="E2" s="18" t="str">
        <f>'Bookings Information'!H4</f>
        <v>85 Afghan Lane</v>
      </c>
      <c r="F2" s="18" t="str">
        <f>'Bookings Information'!I4</f>
        <v>London</v>
      </c>
      <c r="G2" s="18" t="str">
        <f>'Bookings Information'!J4</f>
        <v>Westminster</v>
      </c>
      <c r="H2" s="18" t="str">
        <f>'Bookings Information'!K4</f>
        <v>England</v>
      </c>
      <c r="I2" s="18" t="str">
        <f>'Bookings Information'!L4</f>
        <v>SY7 8EE</v>
      </c>
      <c r="J2" s="19" t="str">
        <f>'Room Information'!B4</f>
        <v>Twin</v>
      </c>
      <c r="K2" s="24">
        <f>'Room Information'!C4</f>
        <v>10</v>
      </c>
      <c r="L2" s="19"/>
      <c r="M2" s="25">
        <f>'Bookings Information'!S4</f>
        <v>41366</v>
      </c>
      <c r="N2" s="25" t="str">
        <f ca="1">'Bookings Information'!T4</f>
        <v>24/9/2013</v>
      </c>
      <c r="O2" s="19" t="str">
        <f>CONCATENATE('Bookings Information'!C4," ",'Bookings Information'!D4," ",'Bookings Information'!E4)</f>
        <v>Ms Samantha Blair</v>
      </c>
      <c r="P2" s="19"/>
      <c r="Q2" s="19"/>
      <c r="R2" s="3"/>
      <c r="S2" s="3"/>
      <c r="T2" s="3"/>
    </row>
    <row r="3" spans="1:20" x14ac:dyDescent="0.25">
      <c r="A3" s="19">
        <f>'Bookings Information'!A5</f>
        <v>0</v>
      </c>
      <c r="B3" s="19" t="str">
        <f>'Bookings Information'!C5</f>
        <v>Mrs</v>
      </c>
      <c r="C3" s="19" t="str">
        <f>'Bookings Information'!D5</f>
        <v>Paulina</v>
      </c>
      <c r="D3" s="18" t="str">
        <f>'Bookings Information'!E5</f>
        <v>Jebb</v>
      </c>
      <c r="E3" s="18" t="str">
        <f>'Bookings Information'!H5</f>
        <v>97 Salmon Street</v>
      </c>
      <c r="F3" s="18" t="str">
        <f>'Bookings Information'!I5</f>
        <v>Cheshire</v>
      </c>
      <c r="G3" s="18" t="str">
        <f>'Bookings Information'!J5</f>
        <v>Ingoo Plaza</v>
      </c>
      <c r="H3" s="18" t="str">
        <f>'Bookings Information'!K5</f>
        <v>England</v>
      </c>
      <c r="I3" s="18" t="str">
        <f>'Bookings Information'!L5</f>
        <v>SY7 8EE</v>
      </c>
      <c r="J3" s="19" t="str">
        <f>'Room Information'!B5</f>
        <v>Double</v>
      </c>
      <c r="K3" s="24">
        <f>'Room Information'!C5</f>
        <v>25</v>
      </c>
      <c r="L3" s="16"/>
      <c r="M3" s="25">
        <f>'Bookings Information'!S5</f>
        <v>41430</v>
      </c>
      <c r="N3" s="25" t="str">
        <f ca="1">'Bookings Information'!T5</f>
        <v>18/10/2013</v>
      </c>
      <c r="O3" s="19" t="str">
        <f>CONCATENATE('Bookings Information'!C5," ",'Bookings Information'!D5," ",'Bookings Information'!E5)</f>
        <v>Mrs Paulina Jebb</v>
      </c>
      <c r="P3" s="16"/>
      <c r="Q3" s="16"/>
    </row>
    <row r="4" spans="1:20" x14ac:dyDescent="0.25">
      <c r="A4" s="19">
        <f>'Bookings Information'!A6</f>
        <v>0</v>
      </c>
      <c r="B4" s="19" t="str">
        <f>'Bookings Information'!C6</f>
        <v>Doctor</v>
      </c>
      <c r="C4" s="19" t="str">
        <f>'Bookings Information'!D6</f>
        <v>Paul</v>
      </c>
      <c r="D4" s="18" t="str">
        <f>'Bookings Information'!E6</f>
        <v>Jacobs</v>
      </c>
      <c r="E4" s="18" t="str">
        <f>'Bookings Information'!H6</f>
        <v>32 Chip Avenue</v>
      </c>
      <c r="F4" s="18" t="str">
        <f>'Bookings Information'!I6</f>
        <v>Birmingham</v>
      </c>
      <c r="G4" s="18" t="str">
        <f>'Bookings Information'!J6</f>
        <v>The Bullring</v>
      </c>
      <c r="H4" s="18" t="str">
        <f>'Bookings Information'!K6</f>
        <v>England</v>
      </c>
      <c r="I4" s="18" t="str">
        <f>'Bookings Information'!L6</f>
        <v>SY7 8EE</v>
      </c>
      <c r="J4" s="19" t="str">
        <f>'Room Information'!B6</f>
        <v>Twin</v>
      </c>
      <c r="K4" s="24">
        <f>'Room Information'!C6</f>
        <v>10</v>
      </c>
      <c r="L4" s="16"/>
      <c r="M4" s="25">
        <f>'Bookings Information'!S6</f>
        <v>41432</v>
      </c>
      <c r="N4" s="25" t="str">
        <f ca="1">'Bookings Information'!T6</f>
        <v>30/7/2013</v>
      </c>
      <c r="O4" s="19" t="str">
        <f>CONCATENATE('Bookings Information'!C6," ",'Bookings Information'!D6," ",'Bookings Information'!E6)</f>
        <v>Doctor Paul Jacobs</v>
      </c>
      <c r="P4" s="16"/>
      <c r="Q4" s="16"/>
    </row>
    <row r="5" spans="1:20" x14ac:dyDescent="0.25">
      <c r="A5" s="19">
        <f>'Bookings Information'!A7</f>
        <v>0</v>
      </c>
      <c r="B5" s="19" t="str">
        <f>'Bookings Information'!C7</f>
        <v>Lord</v>
      </c>
      <c r="C5" s="19" t="str">
        <f>'Bookings Information'!D7</f>
        <v>Alan</v>
      </c>
      <c r="D5" s="18" t="str">
        <f>'Bookings Information'!E7</f>
        <v>Sugar</v>
      </c>
      <c r="E5" s="18" t="str">
        <f>'Bookings Information'!H7</f>
        <v>12 Youview Lane</v>
      </c>
      <c r="F5" s="18" t="str">
        <f>'Bookings Information'!I7</f>
        <v>London</v>
      </c>
      <c r="G5" s="18" t="str">
        <f>'Bookings Information'!J7</f>
        <v>Hampshire</v>
      </c>
      <c r="H5" s="18" t="str">
        <f>'Bookings Information'!K7</f>
        <v>England</v>
      </c>
      <c r="I5" s="18" t="str">
        <f>'Bookings Information'!L7</f>
        <v>SY7 8EE</v>
      </c>
      <c r="J5" s="19" t="str">
        <f>'Room Information'!B7</f>
        <v>Double</v>
      </c>
      <c r="K5" s="24">
        <f>'Room Information'!C7</f>
        <v>25</v>
      </c>
      <c r="L5" s="16"/>
      <c r="M5" s="25">
        <f>'Bookings Information'!S7</f>
        <v>41433</v>
      </c>
      <c r="N5" s="25" t="str">
        <f ca="1">'Bookings Information'!T7</f>
        <v>7/6/2013</v>
      </c>
      <c r="O5" s="19" t="str">
        <f>CONCATENATE('Bookings Information'!C7," ",'Bookings Information'!D7," ",'Bookings Information'!E7)</f>
        <v>Lord Alan Sugar</v>
      </c>
      <c r="P5" s="16"/>
      <c r="Q5" s="16"/>
    </row>
    <row r="6" spans="1:20" x14ac:dyDescent="0.25">
      <c r="A6" s="19">
        <f>'Bookings Information'!A8</f>
        <v>0</v>
      </c>
      <c r="B6" s="19" t="str">
        <f>'Bookings Information'!C8</f>
        <v>Doctor</v>
      </c>
      <c r="C6" s="19" t="str">
        <f>'Bookings Information'!D8</f>
        <v>Tony</v>
      </c>
      <c r="D6" s="18" t="str">
        <f>'Bookings Information'!E8</f>
        <v>Blair</v>
      </c>
      <c r="E6" s="18" t="str">
        <f>'Bookings Information'!H8</f>
        <v>Hampshire Row</v>
      </c>
      <c r="F6" s="18" t="str">
        <f>'Bookings Information'!I8</f>
        <v>Reading</v>
      </c>
      <c r="G6" s="18" t="str">
        <f>'Bookings Information'!J8</f>
        <v xml:space="preserve"> Train Station</v>
      </c>
      <c r="H6" s="18" t="str">
        <f>'Bookings Information'!K8</f>
        <v>England</v>
      </c>
      <c r="I6" s="18" t="str">
        <f>'Bookings Information'!L8</f>
        <v>SY7 8EE</v>
      </c>
      <c r="J6" s="19" t="str">
        <f>'Room Information'!B8</f>
        <v>Twin</v>
      </c>
      <c r="K6" s="24">
        <f>'Room Information'!C8</f>
        <v>10</v>
      </c>
      <c r="L6" s="16"/>
      <c r="M6" s="25">
        <f>'Bookings Information'!S8</f>
        <v>41434</v>
      </c>
      <c r="N6" s="25" t="str">
        <f ca="1">'Bookings Information'!T8</f>
        <v>12/5/2013</v>
      </c>
      <c r="O6" s="19" t="str">
        <f>CONCATENATE('Bookings Information'!C8," ",'Bookings Information'!D8," ",'Bookings Information'!E8)</f>
        <v>Doctor Tony Blair</v>
      </c>
      <c r="P6" s="16"/>
      <c r="Q6" s="16"/>
    </row>
    <row r="7" spans="1:20" x14ac:dyDescent="0.25">
      <c r="A7" s="19">
        <f>'Bookings Information'!A9</f>
        <v>0</v>
      </c>
      <c r="B7" s="19" t="str">
        <f>'Bookings Information'!C9</f>
        <v>Ms</v>
      </c>
      <c r="C7" s="19" t="str">
        <f>'Bookings Information'!D9</f>
        <v>Samantha</v>
      </c>
      <c r="D7" s="18" t="str">
        <f>'Bookings Information'!E9</f>
        <v>Blair</v>
      </c>
      <c r="E7" s="18" t="str">
        <f>'Bookings Information'!H9</f>
        <v>85 Afghan Lane</v>
      </c>
      <c r="F7" s="18" t="str">
        <f>'Bookings Information'!I9</f>
        <v>London</v>
      </c>
      <c r="G7" s="18" t="str">
        <f>'Bookings Information'!J9</f>
        <v>Hampshire</v>
      </c>
      <c r="H7" s="18" t="str">
        <f>'Bookings Information'!K9</f>
        <v>England</v>
      </c>
      <c r="I7" s="18" t="str">
        <f>'Bookings Information'!L9</f>
        <v>SY7 8EE</v>
      </c>
      <c r="J7" s="19" t="str">
        <f>'Room Information'!B9</f>
        <v>Double</v>
      </c>
      <c r="K7" s="24">
        <f>'Room Information'!C9</f>
        <v>25</v>
      </c>
      <c r="L7" s="16"/>
      <c r="M7" s="25">
        <f>'Bookings Information'!S9</f>
        <v>41435</v>
      </c>
      <c r="N7" s="25" t="str">
        <f ca="1">'Bookings Information'!T9</f>
        <v>26/8/2013</v>
      </c>
      <c r="O7" s="19" t="str">
        <f>CONCATENATE('Bookings Information'!C9," ",'Bookings Information'!D9," ",'Bookings Information'!E9)</f>
        <v>Ms Samantha Blair</v>
      </c>
      <c r="P7" s="16"/>
      <c r="Q7" s="16"/>
    </row>
    <row r="8" spans="1:20" x14ac:dyDescent="0.25">
      <c r="A8" s="19">
        <f>'Bookings Information'!A10</f>
        <v>0</v>
      </c>
      <c r="B8" s="19" t="str">
        <f>'Bookings Information'!C10</f>
        <v>Doctor</v>
      </c>
      <c r="C8" s="19" t="str">
        <f>'Bookings Information'!D10</f>
        <v>Paul</v>
      </c>
      <c r="D8" s="18" t="str">
        <f>'Bookings Information'!E10</f>
        <v>Jacobs</v>
      </c>
      <c r="E8" s="18" t="str">
        <f>'Bookings Information'!H10</f>
        <v>32 Chip Avenue</v>
      </c>
      <c r="F8" s="18" t="str">
        <f>'Bookings Information'!I10</f>
        <v>London</v>
      </c>
      <c r="G8" s="18" t="str">
        <f>'Bookings Information'!J10</f>
        <v>Hampshire</v>
      </c>
      <c r="H8" s="18" t="str">
        <f>'Bookings Information'!K10</f>
        <v>England</v>
      </c>
      <c r="I8" s="18" t="str">
        <f>'Bookings Information'!L10</f>
        <v>SY7 8EE</v>
      </c>
      <c r="J8" s="19" t="str">
        <f>'Room Information'!B10</f>
        <v>Twin</v>
      </c>
      <c r="K8" s="24">
        <f>'Room Information'!C10</f>
        <v>10</v>
      </c>
      <c r="L8" s="16"/>
      <c r="M8" s="25">
        <f>'Bookings Information'!S10</f>
        <v>41436</v>
      </c>
      <c r="N8" s="25" t="str">
        <f ca="1">'Bookings Information'!T10</f>
        <v>15/3/2013</v>
      </c>
      <c r="O8" s="19" t="str">
        <f>CONCATENATE('Bookings Information'!C10," ",'Bookings Information'!D10," ",'Bookings Information'!E10)</f>
        <v>Doctor Paul Jacobs</v>
      </c>
      <c r="P8" s="16"/>
      <c r="Q8" s="16"/>
    </row>
    <row r="9" spans="1:20" x14ac:dyDescent="0.25">
      <c r="A9" s="19">
        <f>'Bookings Information'!A11</f>
        <v>0</v>
      </c>
      <c r="B9" s="19" t="str">
        <f>'Bookings Information'!C11</f>
        <v>Mrs</v>
      </c>
      <c r="C9" s="19" t="str">
        <f>'Bookings Information'!D11</f>
        <v>Paulina</v>
      </c>
      <c r="D9" s="18" t="str">
        <f>'Bookings Information'!E11</f>
        <v>Jebb</v>
      </c>
      <c r="E9" s="18" t="str">
        <f>'Bookings Information'!H11</f>
        <v>Hampshire Row</v>
      </c>
      <c r="F9" s="18" t="str">
        <f>'Bookings Information'!I11</f>
        <v>London</v>
      </c>
      <c r="G9" s="18" t="str">
        <f>'Bookings Information'!J11</f>
        <v>Hampshire</v>
      </c>
      <c r="H9" s="18" t="str">
        <f>'Bookings Information'!K11</f>
        <v>England</v>
      </c>
      <c r="I9" s="18" t="str">
        <f>'Bookings Information'!L11</f>
        <v>SY7 8EE</v>
      </c>
      <c r="J9" s="19" t="str">
        <f>'Room Information'!B11</f>
        <v>Double</v>
      </c>
      <c r="K9" s="24">
        <f>'Room Information'!C11</f>
        <v>25</v>
      </c>
      <c r="L9" s="16"/>
      <c r="M9" s="25">
        <f>'Bookings Information'!S11</f>
        <v>41437</v>
      </c>
      <c r="N9" s="25" t="str">
        <f ca="1">'Bookings Information'!T11</f>
        <v>30/8/2013</v>
      </c>
      <c r="O9" s="19" t="str">
        <f>CONCATENATE('Bookings Information'!C11," ",'Bookings Information'!D11," ",'Bookings Information'!E11)</f>
        <v>Mrs Paulina Jebb</v>
      </c>
      <c r="P9" s="16"/>
      <c r="Q9" s="16"/>
    </row>
    <row r="10" spans="1:20" x14ac:dyDescent="0.25">
      <c r="A10" s="19"/>
      <c r="B10" s="19"/>
      <c r="C10" s="19"/>
      <c r="D10" s="18"/>
      <c r="E10" s="18"/>
      <c r="F10" s="18"/>
      <c r="G10" s="18"/>
      <c r="H10" s="18"/>
      <c r="I10" s="18"/>
      <c r="J10" s="19"/>
      <c r="K10" s="16"/>
      <c r="L10" s="16"/>
      <c r="M10" s="16"/>
      <c r="N10" s="16"/>
      <c r="O10" s="16"/>
      <c r="P10" s="16"/>
      <c r="Q10" s="16"/>
    </row>
    <row r="11" spans="1:20" x14ac:dyDescent="0.25">
      <c r="A11" s="19"/>
      <c r="B11" s="19"/>
      <c r="C11" s="19"/>
      <c r="D11" s="18"/>
      <c r="E11" s="18"/>
      <c r="F11" s="18"/>
      <c r="G11" s="18"/>
      <c r="H11" s="18"/>
      <c r="I11" s="18"/>
      <c r="J11" s="19"/>
      <c r="K11" s="16"/>
      <c r="L11" s="16"/>
      <c r="M11" s="16"/>
      <c r="N11" s="16"/>
      <c r="O11" s="16"/>
      <c r="P11" s="16"/>
      <c r="Q11" s="16"/>
    </row>
    <row r="12" spans="1:20" x14ac:dyDescent="0.25">
      <c r="A12" s="19"/>
      <c r="B12" s="19"/>
      <c r="C12" s="19"/>
      <c r="D12" s="18"/>
      <c r="E12" s="18"/>
      <c r="F12" s="18"/>
      <c r="G12" s="18"/>
      <c r="H12" s="18"/>
      <c r="I12" s="18"/>
      <c r="J12" s="19"/>
      <c r="K12" s="16"/>
      <c r="L12" s="16"/>
      <c r="M12" s="16"/>
      <c r="N12" s="16"/>
      <c r="O12" s="16"/>
      <c r="P12" s="16"/>
      <c r="Q12" s="16"/>
    </row>
    <row r="13" spans="1:20" x14ac:dyDescent="0.25">
      <c r="A13" s="19"/>
      <c r="B13" s="19"/>
      <c r="C13" s="19"/>
      <c r="D13" s="18"/>
      <c r="E13" s="18"/>
      <c r="F13" s="18"/>
      <c r="G13" s="18"/>
      <c r="H13" s="18"/>
      <c r="I13" s="18"/>
      <c r="J13" s="19"/>
      <c r="K13" s="16"/>
      <c r="L13" s="16"/>
      <c r="M13" s="16"/>
      <c r="N13" s="16"/>
      <c r="O13" s="16"/>
      <c r="P13" s="16"/>
      <c r="Q13" s="16"/>
    </row>
    <row r="14" spans="1:20" x14ac:dyDescent="0.25">
      <c r="A14" s="19"/>
      <c r="B14" s="19"/>
      <c r="C14" s="19"/>
      <c r="D14" s="18"/>
      <c r="E14" s="18"/>
      <c r="F14" s="18"/>
      <c r="G14" s="18"/>
      <c r="H14" s="18"/>
      <c r="I14" s="18"/>
      <c r="J14" s="19"/>
      <c r="K14" s="16"/>
      <c r="L14" s="16"/>
      <c r="M14" s="16"/>
      <c r="N14" s="16"/>
      <c r="O14" s="16"/>
      <c r="P14" s="16"/>
      <c r="Q14" s="16"/>
    </row>
    <row r="15" spans="1:20" x14ac:dyDescent="0.25">
      <c r="A15" s="19"/>
      <c r="B15" s="19"/>
      <c r="C15" s="19"/>
      <c r="D15" s="18"/>
      <c r="E15" s="18"/>
      <c r="F15" s="18"/>
      <c r="G15" s="18"/>
      <c r="H15" s="18"/>
      <c r="I15" s="18"/>
      <c r="J15" s="19"/>
      <c r="K15" s="16"/>
      <c r="L15" s="16"/>
      <c r="M15" s="16"/>
      <c r="N15" s="16"/>
      <c r="O15" s="16"/>
      <c r="P15" s="16"/>
      <c r="Q15" s="16"/>
    </row>
    <row r="16" spans="1:20" x14ac:dyDescent="0.25">
      <c r="A16" s="19"/>
      <c r="B16" s="19"/>
      <c r="C16" s="19"/>
      <c r="D16" s="18"/>
      <c r="E16" s="18"/>
      <c r="F16" s="18"/>
      <c r="G16" s="18"/>
      <c r="H16" s="18"/>
      <c r="I16" s="18"/>
      <c r="J16" s="19"/>
      <c r="K16" s="16"/>
      <c r="L16" s="16"/>
      <c r="M16" s="16"/>
      <c r="N16" s="16"/>
      <c r="O16" s="16"/>
      <c r="P16" s="16"/>
      <c r="Q16" s="16"/>
    </row>
    <row r="17" spans="1:17" x14ac:dyDescent="0.25">
      <c r="A17" s="19"/>
      <c r="B17" s="19"/>
      <c r="C17" s="19"/>
      <c r="D17" s="18"/>
      <c r="E17" s="18"/>
      <c r="F17" s="18"/>
      <c r="G17" s="18"/>
      <c r="H17" s="18"/>
      <c r="I17" s="18"/>
      <c r="J17" s="19"/>
      <c r="K17" s="16"/>
      <c r="L17" s="16"/>
      <c r="M17" s="16"/>
      <c r="N17" s="16"/>
      <c r="O17" s="16"/>
      <c r="P17" s="16"/>
      <c r="Q17" s="16"/>
    </row>
    <row r="18" spans="1:17" x14ac:dyDescent="0.25">
      <c r="A18" s="16"/>
      <c r="E18" s="18"/>
      <c r="G18" s="17"/>
    </row>
    <row r="19" spans="1:17" x14ac:dyDescent="0.25">
      <c r="A19" s="16"/>
      <c r="E19" s="18"/>
    </row>
    <row r="20" spans="1:17" x14ac:dyDescent="0.25">
      <c r="A20" s="16"/>
      <c r="E20" s="18"/>
    </row>
    <row r="21" spans="1:17" x14ac:dyDescent="0.25">
      <c r="A21" s="16"/>
      <c r="E21" s="18"/>
    </row>
    <row r="22" spans="1:17" x14ac:dyDescent="0.25">
      <c r="A22" s="16"/>
      <c r="E22" s="18"/>
    </row>
    <row r="23" spans="1:17" x14ac:dyDescent="0.25">
      <c r="A23" s="16"/>
    </row>
    <row r="24" spans="1:17" x14ac:dyDescent="0.25">
      <c r="A24" s="16"/>
    </row>
    <row r="25" spans="1:17" x14ac:dyDescent="0.25">
      <c r="A25" s="1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K33" sqref="K33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>
    <row r="1" spans="1:1" x14ac:dyDescent="0.25">
      <c r="A1" t="e">
        <f>if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Halster B+B</vt:lpstr>
      <vt:lpstr>Customer Information</vt:lpstr>
      <vt:lpstr>Bookings Information</vt:lpstr>
      <vt:lpstr>Room Information</vt:lpstr>
      <vt:lpstr>Monthly Calculations</vt:lpstr>
      <vt:lpstr>Invoice</vt:lpstr>
      <vt:lpstr>p</vt:lpstr>
      <vt:lpstr>Sheet1</vt:lpstr>
    </vt:vector>
  </TitlesOfParts>
  <Company>The Priory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Roberts</dc:creator>
  <cp:lastModifiedBy>The Priory School</cp:lastModifiedBy>
  <dcterms:created xsi:type="dcterms:W3CDTF">2013-04-15T11:09:15Z</dcterms:created>
  <dcterms:modified xsi:type="dcterms:W3CDTF">2013-07-01T11:56:02Z</dcterms:modified>
</cp:coreProperties>
</file>