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8195" windowHeight="11820" tabRatio="801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Monthly Calculations" sheetId="9" r:id="rId5"/>
    <sheet name="Invoice" sheetId="10" r:id="rId6"/>
  </sheets>
  <definedNames>
    <definedName name="_xlnm._FilterDatabase" localSheetId="1" hidden="1">'Customer Information'!$A$3:$A$11</definedName>
  </definedNames>
  <calcPr calcId="145621"/>
</workbook>
</file>

<file path=xl/calcChain.xml><?xml version="1.0" encoding="utf-8"?>
<calcChain xmlns="http://schemas.openxmlformats.org/spreadsheetml/2006/main">
  <c r="U5" i="7" l="1"/>
  <c r="V4" i="7" l="1"/>
  <c r="U4" i="7"/>
  <c r="U6" i="7" l="1"/>
  <c r="U7" i="7"/>
  <c r="U8" i="7"/>
  <c r="U9" i="7"/>
  <c r="U10" i="7"/>
  <c r="U11" i="7"/>
  <c r="Q5" i="7"/>
  <c r="Q6" i="7"/>
  <c r="Q7" i="7"/>
  <c r="Q8" i="7"/>
  <c r="Q9" i="7"/>
  <c r="Q10" i="7"/>
  <c r="Q11" i="7"/>
  <c r="Q4" i="7"/>
  <c r="R18" i="7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O6" i="7"/>
  <c r="O7" i="7"/>
  <c r="O8" i="7"/>
  <c r="O9" i="7"/>
  <c r="O10" i="7"/>
  <c r="O11" i="7"/>
  <c r="O4" i="7"/>
  <c r="L5" i="7"/>
  <c r="L6" i="7"/>
  <c r="L7" i="7"/>
  <c r="L8" i="7"/>
  <c r="L9" i="7"/>
  <c r="L10" i="7"/>
  <c r="L11" i="7"/>
  <c r="L4" i="7"/>
  <c r="K5" i="7"/>
  <c r="K6" i="7"/>
  <c r="K7" i="7"/>
  <c r="K8" i="7"/>
  <c r="K9" i="7"/>
  <c r="K10" i="7"/>
  <c r="K11" i="7"/>
  <c r="K4" i="7"/>
  <c r="J5" i="7"/>
  <c r="J6" i="7"/>
  <c r="J7" i="7"/>
  <c r="J8" i="7"/>
  <c r="J9" i="7"/>
  <c r="J10" i="7"/>
  <c r="J11" i="7"/>
  <c r="J4" i="7"/>
  <c r="I5" i="7"/>
  <c r="I6" i="7"/>
  <c r="I7" i="7"/>
  <c r="I8" i="7"/>
  <c r="I9" i="7"/>
  <c r="I10" i="7"/>
  <c r="I11" i="7"/>
  <c r="I4" i="7"/>
  <c r="H5" i="7"/>
  <c r="H6" i="7"/>
  <c r="H7" i="7"/>
  <c r="H8" i="7"/>
  <c r="H9" i="7"/>
  <c r="H10" i="7"/>
  <c r="H11" i="7"/>
  <c r="H4" i="7"/>
  <c r="G5" i="7"/>
  <c r="G6" i="7"/>
  <c r="G7" i="7"/>
  <c r="G8" i="7"/>
  <c r="G9" i="7"/>
  <c r="G10" i="7"/>
  <c r="G11" i="7"/>
  <c r="G4" i="7"/>
  <c r="F5" i="7"/>
  <c r="F6" i="7"/>
  <c r="F7" i="7"/>
  <c r="F8" i="7"/>
  <c r="F9" i="7"/>
  <c r="F10" i="7"/>
  <c r="F11" i="7"/>
  <c r="F4" i="7"/>
  <c r="E5" i="7"/>
  <c r="E6" i="7"/>
  <c r="E7" i="7"/>
  <c r="E8" i="7"/>
  <c r="E9" i="7"/>
  <c r="E10" i="7"/>
  <c r="E11" i="7"/>
  <c r="E4" i="7"/>
  <c r="D5" i="7"/>
  <c r="D6" i="7"/>
  <c r="D7" i="7"/>
  <c r="D8" i="7"/>
  <c r="D9" i="7"/>
  <c r="D10" i="7"/>
  <c r="D11" i="7"/>
  <c r="D4" i="7"/>
  <c r="C4" i="7"/>
  <c r="C5" i="7"/>
  <c r="C6" i="7"/>
  <c r="C7" i="7"/>
  <c r="C8" i="7"/>
  <c r="C9" i="7"/>
  <c r="C10" i="7"/>
  <c r="C11" i="7"/>
  <c r="P3" i="7" l="1"/>
  <c r="O3" i="7"/>
  <c r="M3" i="7"/>
</calcChain>
</file>

<file path=xl/sharedStrings.xml><?xml version="1.0" encoding="utf-8"?>
<sst xmlns="http://schemas.openxmlformats.org/spreadsheetml/2006/main" count="154" uniqueCount="79">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</sst>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£&quot;#,##0;[Red]\-&quot;£&quot;#,##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2" fillId="0" borderId="1" xfId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4" borderId="3" xfId="0" applyFill="1" applyBorder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Calcualtions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2</xdr:row>
      <xdr:rowOff>57150</xdr:rowOff>
    </xdr:from>
    <xdr:to>
      <xdr:col>3</xdr:col>
      <xdr:colOff>114300</xdr:colOff>
      <xdr:row>6</xdr:row>
      <xdr:rowOff>85724</xdr:rowOff>
    </xdr:to>
    <xdr:sp macro="[0]!custInf" textlink="">
      <xdr:nvSpPr>
        <xdr:cNvPr id="4" name="Rectangle 3"/>
        <xdr:cNvSpPr/>
      </xdr:nvSpPr>
      <xdr:spPr>
        <a:xfrm>
          <a:off x="0" y="142875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63070</xdr:colOff>
      <xdr:row>2</xdr:row>
      <xdr:rowOff>47625</xdr:rowOff>
    </xdr:from>
    <xdr:to>
      <xdr:col>19</xdr:col>
      <xdr:colOff>9523</xdr:colOff>
      <xdr:row>6</xdr:row>
      <xdr:rowOff>76199</xdr:rowOff>
    </xdr:to>
    <xdr:sp macro="[0]!invoices" textlink="">
      <xdr:nvSpPr>
        <xdr:cNvPr id="5" name="Rectangle 4"/>
        <xdr:cNvSpPr/>
      </xdr:nvSpPr>
      <xdr:spPr>
        <a:xfrm>
          <a:off x="9207070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2</xdr:row>
      <xdr:rowOff>47625</xdr:rowOff>
    </xdr:from>
    <xdr:to>
      <xdr:col>15</xdr:col>
      <xdr:colOff>38098</xdr:colOff>
      <xdr:row>6</xdr:row>
      <xdr:rowOff>76199</xdr:rowOff>
    </xdr:to>
    <xdr:sp macro="[0]!monthCalc" textlink="">
      <xdr:nvSpPr>
        <xdr:cNvPr id="6" name="Rectangle 5"/>
        <xdr:cNvSpPr/>
      </xdr:nvSpPr>
      <xdr:spPr>
        <a:xfrm>
          <a:off x="6797245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139270</xdr:colOff>
      <xdr:row>2</xdr:row>
      <xdr:rowOff>57150</xdr:rowOff>
    </xdr:from>
    <xdr:to>
      <xdr:col>7</xdr:col>
      <xdr:colOff>85723</xdr:colOff>
      <xdr:row>6</xdr:row>
      <xdr:rowOff>85724</xdr:rowOff>
    </xdr:to>
    <xdr:sp macro="[0]!roomInf" textlink="">
      <xdr:nvSpPr>
        <xdr:cNvPr id="7" name="Rectangle 6"/>
        <xdr:cNvSpPr/>
      </xdr:nvSpPr>
      <xdr:spPr>
        <a:xfrm>
          <a:off x="1968070" y="14287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123182</xdr:colOff>
      <xdr:row>2</xdr:row>
      <xdr:rowOff>47625</xdr:rowOff>
    </xdr:from>
    <xdr:to>
      <xdr:col>11</xdr:col>
      <xdr:colOff>57149</xdr:colOff>
      <xdr:row>6</xdr:row>
      <xdr:rowOff>76199</xdr:rowOff>
    </xdr:to>
    <xdr:sp macro="[0]!bookInf" textlink="">
      <xdr:nvSpPr>
        <xdr:cNvPr id="8" name="Rectangle 7"/>
        <xdr:cNvSpPr/>
      </xdr:nvSpPr>
      <xdr:spPr>
        <a:xfrm>
          <a:off x="4390382" y="141922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Invoices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tabSelected="1" workbookViewId="0">
      <selection activeCell="H21" sqref="H21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topLeftCell="D1" workbookViewId="0">
      <selection activeCell="G20" sqref="G20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6" t="s">
        <v>0</v>
      </c>
      <c r="B3" s="6" t="s">
        <v>1</v>
      </c>
      <c r="C3" s="6" t="s">
        <v>2</v>
      </c>
      <c r="D3" s="6" t="s">
        <v>3</v>
      </c>
      <c r="E3" s="6" t="s">
        <v>41</v>
      </c>
      <c r="F3" s="6" t="s">
        <v>42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V3" s="15" t="s">
        <v>78</v>
      </c>
    </row>
    <row r="4" spans="1:23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  <c r="V4" s="13"/>
    </row>
    <row r="5" spans="1:23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  <c r="V5" s="13"/>
    </row>
    <row r="6" spans="1:23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  <c r="V6" s="13"/>
    </row>
    <row r="7" spans="1:23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  <c r="V7" s="13"/>
    </row>
    <row r="8" spans="1:23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  <c r="V8" s="13"/>
    </row>
    <row r="9" spans="1:23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  <c r="V9" s="13"/>
    </row>
    <row r="10" spans="1:23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  <c r="V10" s="14"/>
    </row>
    <row r="11" spans="1:23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  <c r="V11" s="14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W18"/>
  <sheetViews>
    <sheetView topLeftCell="L1" zoomScaleNormal="100" workbookViewId="0">
      <selection activeCell="U6" sqref="U6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2.7109375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7.28515625" customWidth="1"/>
    <col min="22" max="22" width="10.710937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3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"/>
      <c r="W2" s="3"/>
    </row>
    <row r="3" spans="1:23" x14ac:dyDescent="0.25">
      <c r="A3" s="4" t="s">
        <v>72</v>
      </c>
      <c r="B3" s="4" t="s">
        <v>0</v>
      </c>
      <c r="C3" s="10" t="s">
        <v>1</v>
      </c>
      <c r="D3" s="10" t="s">
        <v>2</v>
      </c>
      <c r="E3" s="10" t="s">
        <v>3</v>
      </c>
      <c r="F3" s="10" t="s">
        <v>41</v>
      </c>
      <c r="G3" s="10" t="s">
        <v>42</v>
      </c>
      <c r="H3" s="10" t="s">
        <v>4</v>
      </c>
      <c r="I3" s="10" t="s">
        <v>5</v>
      </c>
      <c r="J3" s="10" t="s">
        <v>6</v>
      </c>
      <c r="K3" s="10" t="s">
        <v>7</v>
      </c>
      <c r="L3" s="10" t="s">
        <v>8</v>
      </c>
      <c r="M3" s="4" t="str">
        <f>'Room Information'!A3</f>
        <v>Room ID</v>
      </c>
      <c r="N3" s="4" t="s">
        <v>67</v>
      </c>
      <c r="O3" s="4" t="str">
        <f>'Room Information'!C3</f>
        <v>Room Price</v>
      </c>
      <c r="P3" s="4" t="str">
        <f>'Room Information'!D3</f>
        <v>Room Availability</v>
      </c>
      <c r="Q3" s="4" t="s">
        <v>76</v>
      </c>
      <c r="R3" s="4" t="s">
        <v>77</v>
      </c>
      <c r="S3" s="4" t="s">
        <v>73</v>
      </c>
      <c r="T3" s="4" t="s">
        <v>74</v>
      </c>
      <c r="U3" s="4" t="s">
        <v>75</v>
      </c>
    </row>
    <row r="4" spans="1:23" x14ac:dyDescent="0.25">
      <c r="A4" s="4"/>
      <c r="B4" s="4" t="s">
        <v>9</v>
      </c>
      <c r="C4" s="4" t="str">
        <f>VLOOKUP(B4,'Customer Information'!$A$4:$K$11,2,FALSE)</f>
        <v>Ms</v>
      </c>
      <c r="D4" s="4" t="str">
        <f>VLOOKUP(B4,'Customer Information'!$A$4:$K$11,3,FALSE)</f>
        <v>Samantha</v>
      </c>
      <c r="E4" s="4" t="str">
        <f>VLOOKUP(B4,'Customer Information'!$A$4:$K$11,4,FALSE)</f>
        <v>Blair</v>
      </c>
      <c r="F4" s="4" t="str">
        <f>VLOOKUP(B4,'Customer Information'!$A$4:$K$11,5,FALSE)</f>
        <v>iraq@gov.com</v>
      </c>
      <c r="G4" s="4" t="str">
        <f>VLOOKUP(B4,'Customer Information'!$A$4:$K$11,6,FALSE)</f>
        <v>87864 345678</v>
      </c>
      <c r="H4" s="4" t="str">
        <f>VLOOKUP(B4,'Customer Information'!$A$4:$K$11,7,FALSE)</f>
        <v>85 Afghan Lane</v>
      </c>
      <c r="I4" s="4" t="str">
        <f>VLOOKUP(B4,'Customer Information'!$A$4:$K$11,8,FALSE)</f>
        <v>London</v>
      </c>
      <c r="J4" s="4" t="str">
        <f>VLOOKUP(B4,'Customer Information'!$A$4:$K$11,9,FALSE)</f>
        <v>Westminster</v>
      </c>
      <c r="K4" s="4" t="str">
        <f>VLOOKUP(B4,'Customer Information'!$A$4:$K$11,10,FALSE)</f>
        <v>England</v>
      </c>
      <c r="L4" s="4" t="str">
        <f>VLOOKUP(B4,'Customer Information'!$A$4:$K$11,11,FALSE)</f>
        <v>SY7 8EE</v>
      </c>
      <c r="M4" s="4" t="s">
        <v>59</v>
      </c>
      <c r="N4" s="4" t="str">
        <f>VLOOKUP(M4,'Room Information'!$A$4:$D$11,2,FALSE)</f>
        <v>Twin</v>
      </c>
      <c r="O4" s="12">
        <f>VLOOKUP(M4,'Room Information'!$A$4:$D$11,3,FALSE)</f>
        <v>10</v>
      </c>
      <c r="P4" s="4">
        <f>VLOOKUP(M4,'Room Information'!$A$4:$D$11,4,FALSE)</f>
        <v>0</v>
      </c>
      <c r="Q4" s="11">
        <f ca="1">TODAY()</f>
        <v>41401</v>
      </c>
      <c r="R4" s="4"/>
      <c r="S4" s="11">
        <v>41366</v>
      </c>
      <c r="T4" s="11">
        <v>41369</v>
      </c>
      <c r="U4" s="4" t="str">
        <f>CONCATENATE(DAYS360(S4,T4)," ","Nights",)</f>
        <v>3 Nights</v>
      </c>
      <c r="V4" t="str">
        <f>IF(LEN(U4)&gt;0,"Room full!","Room free!")</f>
        <v>Room full!</v>
      </c>
    </row>
    <row r="5" spans="1:23" x14ac:dyDescent="0.25">
      <c r="A5" s="4"/>
      <c r="B5" s="4" t="s">
        <v>10</v>
      </c>
      <c r="C5" s="4" t="str">
        <f>VLOOKUP(B5,'Customer Information'!$A$4:$K$11,2,FALSE)</f>
        <v>Mrs</v>
      </c>
      <c r="D5" s="4" t="str">
        <f>VLOOKUP(B5,'Customer Information'!$A$4:$K$11,3,FALSE)</f>
        <v>Paulina</v>
      </c>
      <c r="E5" s="4" t="str">
        <f>VLOOKUP(B5,'Customer Information'!$A$4:$K$11,4,FALSE)</f>
        <v>Jebb</v>
      </c>
      <c r="F5" s="4" t="str">
        <f>VLOOKUP(B5,'Customer Information'!$A$4:$K$11,5,FALSE)</f>
        <v>foodie@gmail.com</v>
      </c>
      <c r="G5" s="4" t="str">
        <f>VLOOKUP(B5,'Customer Information'!$A$4:$K$11,6,FALSE)</f>
        <v>87864 345679</v>
      </c>
      <c r="H5" s="4" t="str">
        <f>VLOOKUP(B5,'Customer Information'!$A$4:$K$11,7,FALSE)</f>
        <v>97 Salmon Street</v>
      </c>
      <c r="I5" s="4" t="str">
        <f>VLOOKUP(B5,'Customer Information'!$A$4:$K$11,8,FALSE)</f>
        <v>Cheshire</v>
      </c>
      <c r="J5" s="4" t="str">
        <f>VLOOKUP(B5,'Customer Information'!$A$4:$K$11,9,FALSE)</f>
        <v>Ingoo Plaza</v>
      </c>
      <c r="K5" s="4" t="str">
        <f>VLOOKUP(B5,'Customer Information'!$A$4:$K$11,10,FALSE)</f>
        <v>England</v>
      </c>
      <c r="L5" s="4" t="str">
        <f>VLOOKUP(B5,'Customer Information'!$A$4:$K$11,11,FALSE)</f>
        <v>SY7 8EE</v>
      </c>
      <c r="M5" s="4" t="s">
        <v>60</v>
      </c>
      <c r="N5" s="4" t="str">
        <f>VLOOKUP(M5,'Room Information'!$A$4:$D$11,2,FALSE)</f>
        <v>Double</v>
      </c>
      <c r="O5" s="12">
        <f>VLOOKUP(M5,'Room Information'!$A$4:$D$11,3,FALSE)</f>
        <v>25</v>
      </c>
      <c r="P5" s="4">
        <f>VLOOKUP(M5,'Room Information'!$A$4:$D$11,4,FALSE)</f>
        <v>0</v>
      </c>
      <c r="Q5" s="11">
        <f t="shared" ref="Q5:Q11" ca="1" si="0">TODAY()</f>
        <v>41401</v>
      </c>
      <c r="R5" s="4"/>
      <c r="S5" s="11">
        <v>41430</v>
      </c>
      <c r="T5" s="11">
        <v>41462</v>
      </c>
      <c r="U5" s="4" t="str">
        <f>CONCATENATE(DAYS360(S5,T5)," ","nights",)</f>
        <v>32 nights</v>
      </c>
    </row>
    <row r="6" spans="1:23" x14ac:dyDescent="0.25">
      <c r="A6" s="4"/>
      <c r="B6" s="4" t="s">
        <v>11</v>
      </c>
      <c r="C6" s="4" t="str">
        <f>VLOOKUP(B6,'Customer Information'!$A$4:$K$11,2,FALSE)</f>
        <v>Doctor</v>
      </c>
      <c r="D6" s="4" t="str">
        <f>VLOOKUP(B6,'Customer Information'!$A$4:$K$11,3,FALSE)</f>
        <v>Paul</v>
      </c>
      <c r="E6" s="4" t="str">
        <f>VLOOKUP(B6,'Customer Information'!$A$4:$K$11,4,FALSE)</f>
        <v>Jacobs</v>
      </c>
      <c r="F6" s="4" t="str">
        <f>VLOOKUP(B6,'Customer Information'!$A$4:$K$11,5,FALSE)</f>
        <v>iraq@gov.com</v>
      </c>
      <c r="G6" s="4" t="str">
        <f>VLOOKUP(B6,'Customer Information'!$A$4:$K$11,6,FALSE)</f>
        <v>87864 345680</v>
      </c>
      <c r="H6" s="4" t="str">
        <f>VLOOKUP(B6,'Customer Information'!$A$4:$K$11,7,FALSE)</f>
        <v>32 Chip Avenue</v>
      </c>
      <c r="I6" s="4" t="str">
        <f>VLOOKUP(B6,'Customer Information'!$A$4:$K$11,8,FALSE)</f>
        <v>Birmingham</v>
      </c>
      <c r="J6" s="4" t="str">
        <f>VLOOKUP(B6,'Customer Information'!$A$4:$K$11,9,FALSE)</f>
        <v>The Bullring</v>
      </c>
      <c r="K6" s="4" t="str">
        <f>VLOOKUP(B6,'Customer Information'!$A$4:$K$11,10,FALSE)</f>
        <v>England</v>
      </c>
      <c r="L6" s="4" t="str">
        <f>VLOOKUP(B6,'Customer Information'!$A$4:$K$11,11,FALSE)</f>
        <v>SY7 8EE</v>
      </c>
      <c r="M6" s="4" t="s">
        <v>61</v>
      </c>
      <c r="N6" s="4" t="str">
        <f>VLOOKUP(M6,'Room Information'!$A$4:$D$11,2,FALSE)</f>
        <v>Twin</v>
      </c>
      <c r="O6" s="12">
        <f>VLOOKUP(M6,'Room Information'!$A$4:$D$11,3,FALSE)</f>
        <v>10</v>
      </c>
      <c r="P6" s="4">
        <f>VLOOKUP(M6,'Room Information'!$A$4:$D$11,4,FALSE)</f>
        <v>0</v>
      </c>
      <c r="Q6" s="11">
        <f t="shared" ca="1" si="0"/>
        <v>41401</v>
      </c>
      <c r="R6" s="4"/>
      <c r="S6" s="11">
        <v>41432</v>
      </c>
      <c r="T6" s="11">
        <v>41440</v>
      </c>
      <c r="U6" s="4" t="str">
        <f t="shared" ref="U5:U11" si="1">CONCATENATE(DAYS360(S6,T6)," ","Nights",)</f>
        <v>8 Nights</v>
      </c>
    </row>
    <row r="7" spans="1:23" x14ac:dyDescent="0.25">
      <c r="A7" s="4"/>
      <c r="B7" s="4" t="s">
        <v>12</v>
      </c>
      <c r="C7" s="4" t="str">
        <f>VLOOKUP(B7,'Customer Information'!$A$4:$K$11,2,FALSE)</f>
        <v>Lord</v>
      </c>
      <c r="D7" s="4" t="str">
        <f>VLOOKUP(B7,'Customer Information'!$A$4:$K$11,3,FALSE)</f>
        <v>Alan</v>
      </c>
      <c r="E7" s="4" t="str">
        <f>VLOOKUP(B7,'Customer Information'!$A$4:$K$11,4,FALSE)</f>
        <v>Sugar</v>
      </c>
      <c r="F7" s="4" t="str">
        <f>VLOOKUP(B7,'Customer Information'!$A$4:$K$11,5,FALSE)</f>
        <v>foodie@gmail.com</v>
      </c>
      <c r="G7" s="4" t="str">
        <f>VLOOKUP(B7,'Customer Information'!$A$4:$K$11,6,FALSE)</f>
        <v>87864 345681</v>
      </c>
      <c r="H7" s="4" t="str">
        <f>VLOOKUP(B7,'Customer Information'!$A$4:$K$11,7,FALSE)</f>
        <v>12 Youview Lane</v>
      </c>
      <c r="I7" s="4" t="str">
        <f>VLOOKUP(B7,'Customer Information'!$A$4:$K$11,8,FALSE)</f>
        <v>London</v>
      </c>
      <c r="J7" s="4" t="str">
        <f>VLOOKUP(B7,'Customer Information'!$A$4:$K$11,9,FALSE)</f>
        <v>Hampshire</v>
      </c>
      <c r="K7" s="4" t="str">
        <f>VLOOKUP(B7,'Customer Information'!$A$4:$K$11,10,FALSE)</f>
        <v>England</v>
      </c>
      <c r="L7" s="4" t="str">
        <f>VLOOKUP(B7,'Customer Information'!$A$4:$K$11,11,FALSE)</f>
        <v>SY7 8EE</v>
      </c>
      <c r="M7" s="4" t="s">
        <v>62</v>
      </c>
      <c r="N7" s="4" t="str">
        <f>VLOOKUP(M7,'Room Information'!$A$4:$D$11,2,FALSE)</f>
        <v>Double</v>
      </c>
      <c r="O7" s="12">
        <f>VLOOKUP(M7,'Room Information'!$A$4:$D$11,3,FALSE)</f>
        <v>25</v>
      </c>
      <c r="P7" s="4">
        <f>VLOOKUP(M7,'Room Information'!$A$4:$D$11,4,FALSE)</f>
        <v>0</v>
      </c>
      <c r="Q7" s="11">
        <f t="shared" ca="1" si="0"/>
        <v>41401</v>
      </c>
      <c r="R7" s="4"/>
      <c r="S7" s="11">
        <v>41433</v>
      </c>
      <c r="T7" s="11">
        <v>41443</v>
      </c>
      <c r="U7" s="4" t="str">
        <f t="shared" si="1"/>
        <v>10 Nights</v>
      </c>
    </row>
    <row r="8" spans="1:23" x14ac:dyDescent="0.25">
      <c r="A8" s="4"/>
      <c r="B8" s="4" t="s">
        <v>13</v>
      </c>
      <c r="C8" s="4" t="str">
        <f>VLOOKUP(B8,'Customer Information'!$A$4:$K$11,2,FALSE)</f>
        <v>Doctor</v>
      </c>
      <c r="D8" s="4" t="str">
        <f>VLOOKUP(B8,'Customer Information'!$A$4:$K$11,3,FALSE)</f>
        <v>Tony</v>
      </c>
      <c r="E8" s="4" t="str">
        <f>VLOOKUP(B8,'Customer Information'!$A$4:$K$11,4,FALSE)</f>
        <v>Blair</v>
      </c>
      <c r="F8" s="4" t="str">
        <f>VLOOKUP(B8,'Customer Information'!$A$4:$K$11,5,FALSE)</f>
        <v>iraq@gov.com</v>
      </c>
      <c r="G8" s="4" t="str">
        <f>VLOOKUP(B8,'Customer Information'!$A$4:$K$11,6,FALSE)</f>
        <v>87864 345682</v>
      </c>
      <c r="H8" s="4" t="str">
        <f>VLOOKUP(B8,'Customer Information'!$A$4:$K$11,7,FALSE)</f>
        <v>Hampshire Row</v>
      </c>
      <c r="I8" s="4" t="str">
        <f>VLOOKUP(B8,'Customer Information'!$A$4:$K$11,8,FALSE)</f>
        <v>Reading</v>
      </c>
      <c r="J8" s="4" t="str">
        <f>VLOOKUP(B8,'Customer Information'!$A$4:$K$11,9,FALSE)</f>
        <v xml:space="preserve"> Train Station</v>
      </c>
      <c r="K8" s="4" t="str">
        <f>VLOOKUP(B8,'Customer Information'!$A$4:$K$11,10,FALSE)</f>
        <v>England</v>
      </c>
      <c r="L8" s="4" t="str">
        <f>VLOOKUP(B8,'Customer Information'!$A$4:$K$11,11,FALSE)</f>
        <v>SY7 8EE</v>
      </c>
      <c r="M8" s="4" t="s">
        <v>63</v>
      </c>
      <c r="N8" s="4" t="str">
        <f>VLOOKUP(M8,'Room Information'!$A$4:$D$11,2,FALSE)</f>
        <v>Twin</v>
      </c>
      <c r="O8" s="12">
        <f>VLOOKUP(M8,'Room Information'!$A$4:$D$11,3,FALSE)</f>
        <v>10</v>
      </c>
      <c r="P8" s="4">
        <f>VLOOKUP(M8,'Room Information'!$A$4:$D$11,4,FALSE)</f>
        <v>0</v>
      </c>
      <c r="Q8" s="11">
        <f t="shared" ca="1" si="0"/>
        <v>41401</v>
      </c>
      <c r="R8" s="4"/>
      <c r="S8" s="11">
        <v>41434</v>
      </c>
      <c r="T8" s="11">
        <v>41445</v>
      </c>
      <c r="U8" s="4" t="str">
        <f t="shared" si="1"/>
        <v>11 Nights</v>
      </c>
    </row>
    <row r="9" spans="1:23" x14ac:dyDescent="0.25">
      <c r="A9" s="4"/>
      <c r="B9" s="4" t="s">
        <v>14</v>
      </c>
      <c r="C9" s="4" t="str">
        <f>VLOOKUP(B9,'Customer Information'!$A$4:$K$11,2,FALSE)</f>
        <v>Ms</v>
      </c>
      <c r="D9" s="4" t="str">
        <f>VLOOKUP(B9,'Customer Information'!$A$4:$K$11,3,FALSE)</f>
        <v>Samantha</v>
      </c>
      <c r="E9" s="4" t="str">
        <f>VLOOKUP(B9,'Customer Information'!$A$4:$K$11,4,FALSE)</f>
        <v>Blair</v>
      </c>
      <c r="F9" s="4" t="str">
        <f>VLOOKUP(B9,'Customer Information'!$A$4:$K$11,5,FALSE)</f>
        <v>foodie@gmail.com</v>
      </c>
      <c r="G9" s="4" t="str">
        <f>VLOOKUP(B9,'Customer Information'!$A$4:$K$11,6,FALSE)</f>
        <v>87864 345683</v>
      </c>
      <c r="H9" s="4" t="str">
        <f>VLOOKUP(B9,'Customer Information'!$A$4:$K$11,7,FALSE)</f>
        <v>85 Afghan Lane</v>
      </c>
      <c r="I9" s="4" t="str">
        <f>VLOOKUP(B9,'Customer Information'!$A$4:$K$11,8,FALSE)</f>
        <v>London</v>
      </c>
      <c r="J9" s="4" t="str">
        <f>VLOOKUP(B9,'Customer Information'!$A$4:$K$11,9,FALSE)</f>
        <v>Hampshire</v>
      </c>
      <c r="K9" s="4" t="str">
        <f>VLOOKUP(B9,'Customer Information'!$A$4:$K$11,10,FALSE)</f>
        <v>England</v>
      </c>
      <c r="L9" s="4" t="str">
        <f>VLOOKUP(B9,'Customer Information'!$A$4:$K$11,11,FALSE)</f>
        <v>SY7 8EE</v>
      </c>
      <c r="M9" s="4" t="s">
        <v>64</v>
      </c>
      <c r="N9" s="4" t="str">
        <f>VLOOKUP(M9,'Room Information'!$A$4:$D$11,2,FALSE)</f>
        <v>Double</v>
      </c>
      <c r="O9" s="12">
        <f>VLOOKUP(M9,'Room Information'!$A$4:$D$11,3,FALSE)</f>
        <v>25</v>
      </c>
      <c r="P9" s="4">
        <f>VLOOKUP(M9,'Room Information'!$A$4:$D$11,4,FALSE)</f>
        <v>0</v>
      </c>
      <c r="Q9" s="11">
        <f t="shared" ca="1" si="0"/>
        <v>41401</v>
      </c>
      <c r="R9" s="4"/>
      <c r="S9" s="11">
        <v>41435</v>
      </c>
      <c r="T9" s="11">
        <v>41453</v>
      </c>
      <c r="U9" s="4" t="str">
        <f t="shared" si="1"/>
        <v>18 Nights</v>
      </c>
    </row>
    <row r="10" spans="1:23" x14ac:dyDescent="0.25">
      <c r="A10" s="4"/>
      <c r="B10" s="4" t="s">
        <v>15</v>
      </c>
      <c r="C10" s="4" t="str">
        <f>VLOOKUP(B10,'Customer Information'!$A$4:$K$11,2,FALSE)</f>
        <v>Doctor</v>
      </c>
      <c r="D10" s="4" t="str">
        <f>VLOOKUP(B10,'Customer Information'!$A$4:$K$11,3,FALSE)</f>
        <v>Paul</v>
      </c>
      <c r="E10" s="4" t="str">
        <f>VLOOKUP(B10,'Customer Information'!$A$4:$K$11,4,FALSE)</f>
        <v>Jacobs</v>
      </c>
      <c r="F10" s="4" t="str">
        <f>VLOOKUP(B10,'Customer Information'!$A$4:$K$11,5,FALSE)</f>
        <v>iraq@gov.com</v>
      </c>
      <c r="G10" s="4" t="str">
        <f>VLOOKUP(B10,'Customer Information'!$A$4:$K$11,6,FALSE)</f>
        <v>87864 345684</v>
      </c>
      <c r="H10" s="4" t="str">
        <f>VLOOKUP(B10,'Customer Information'!$A$4:$K$11,7,FALSE)</f>
        <v>32 Chip Avenue</v>
      </c>
      <c r="I10" s="4" t="str">
        <f>VLOOKUP(B10,'Customer Information'!$A$4:$K$11,8,FALSE)</f>
        <v>London</v>
      </c>
      <c r="J10" s="4" t="str">
        <f>VLOOKUP(B10,'Customer Information'!$A$4:$K$11,9,FALSE)</f>
        <v>Hampshire</v>
      </c>
      <c r="K10" s="4" t="str">
        <f>VLOOKUP(B10,'Customer Information'!$A$4:$K$11,10,FALSE)</f>
        <v>England</v>
      </c>
      <c r="L10" s="4" t="str">
        <f>VLOOKUP(B10,'Customer Information'!$A$4:$K$11,11,FALSE)</f>
        <v>SY7 8EE</v>
      </c>
      <c r="M10" s="4" t="s">
        <v>65</v>
      </c>
      <c r="N10" s="4" t="str">
        <f>VLOOKUP(M10,'Room Information'!$A$4:$D$11,2,FALSE)</f>
        <v>Twin</v>
      </c>
      <c r="O10" s="12">
        <f>VLOOKUP(M10,'Room Information'!$A$4:$D$11,3,FALSE)</f>
        <v>10</v>
      </c>
      <c r="P10" s="4">
        <f>VLOOKUP(M10,'Room Information'!$A$4:$D$11,4,FALSE)</f>
        <v>0</v>
      </c>
      <c r="Q10" s="11">
        <f t="shared" ca="1" si="0"/>
        <v>41401</v>
      </c>
      <c r="R10" s="4"/>
      <c r="S10" s="11">
        <v>41436</v>
      </c>
      <c r="T10" s="11">
        <v>41440</v>
      </c>
      <c r="U10" s="4" t="str">
        <f t="shared" si="1"/>
        <v>4 Nights</v>
      </c>
    </row>
    <row r="11" spans="1:23" x14ac:dyDescent="0.25">
      <c r="A11" s="4"/>
      <c r="B11" s="4" t="s">
        <v>16</v>
      </c>
      <c r="C11" s="4" t="str">
        <f>VLOOKUP(B11,'Customer Information'!$A$4:$K$11,2,FALSE)</f>
        <v>Mrs</v>
      </c>
      <c r="D11" s="4" t="str">
        <f>VLOOKUP(B11,'Customer Information'!$A$4:$K$11,3,FALSE)</f>
        <v>Paulina</v>
      </c>
      <c r="E11" s="4" t="str">
        <f>VLOOKUP(B11,'Customer Information'!$A$4:$K$11,4,FALSE)</f>
        <v>Jebb</v>
      </c>
      <c r="F11" s="4" t="str">
        <f>VLOOKUP(B11,'Customer Information'!$A$4:$K$11,5,FALSE)</f>
        <v>foodie@gmail.com</v>
      </c>
      <c r="G11" s="4" t="str">
        <f>VLOOKUP(B11,'Customer Information'!$A$4:$K$11,6,FALSE)</f>
        <v>87864 345685</v>
      </c>
      <c r="H11" s="4" t="str">
        <f>VLOOKUP(B11,'Customer Information'!$A$4:$K$11,7,FALSE)</f>
        <v>Hampshire Row</v>
      </c>
      <c r="I11" s="4" t="str">
        <f>VLOOKUP(B11,'Customer Information'!$A$4:$K$11,8,FALSE)</f>
        <v>London</v>
      </c>
      <c r="J11" s="4" t="str">
        <f>VLOOKUP(B11,'Customer Information'!$A$4:$K$11,9,FALSE)</f>
        <v>Hampshire</v>
      </c>
      <c r="K11" s="4" t="str">
        <f>VLOOKUP(B11,'Customer Information'!$A$4:$K$11,10,FALSE)</f>
        <v>England</v>
      </c>
      <c r="L11" s="4" t="str">
        <f>VLOOKUP(B11,'Customer Information'!$A$4:$K$11,11,FALSE)</f>
        <v>SY7 8EE</v>
      </c>
      <c r="M11" s="4" t="s">
        <v>66</v>
      </c>
      <c r="N11" s="4" t="str">
        <f>VLOOKUP(M11,'Room Information'!$A$4:$D$11,2,FALSE)</f>
        <v>Double</v>
      </c>
      <c r="O11" s="12">
        <f>VLOOKUP(M11,'Room Information'!$A$4:$D$11,3,FALSE)</f>
        <v>25</v>
      </c>
      <c r="P11" s="4">
        <f>VLOOKUP(M11,'Room Information'!$A$4:$D$11,4,FALSE)</f>
        <v>0</v>
      </c>
      <c r="Q11" s="11">
        <f t="shared" ca="1" si="0"/>
        <v>41401</v>
      </c>
      <c r="R11" s="4"/>
      <c r="S11" s="11">
        <v>41437</v>
      </c>
      <c r="T11" s="11">
        <v>41445</v>
      </c>
      <c r="U11" s="4" t="str">
        <f t="shared" si="1"/>
        <v>8 Nights</v>
      </c>
    </row>
    <row r="18" spans="18:18" x14ac:dyDescent="0.25">
      <c r="R18">
        <f>T16</f>
        <v>0</v>
      </c>
    </row>
  </sheetData>
  <dataValidations count="4">
    <dataValidation type="date" allowBlank="1" showInputMessage="1" showErrorMessage="1" errorTitle="Invalid Input" error="You must enter a valid date." sqref="S4:S11">
      <formula1>36526</formula1>
      <formula2>402114</formula2>
    </dataValidation>
    <dataValidation allowBlank="1" showInputMessage="1" showErrorMessage="1" errorTitle="Invalid Input" error="You must enter a number between 1 and 365." sqref="U4:U11"/>
    <dataValidation type="date" allowBlank="1" showInputMessage="1" showErrorMessage="1" errorTitle="Invalid Input" error="You must enter a valid date." sqref="T4:T11">
      <formula1>41275</formula1>
      <formula2>42350</formula2>
    </dataValidation>
    <dataValidation allowBlank="1" showInputMessage="1" showErrorMessage="1" errorTitle="Invalid Input" error="You must input a valid room ID." sqref="N4:N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B4:B11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orkbookViewId="0">
      <selection activeCell="D4" sqref="D4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9" t="s">
        <v>58</v>
      </c>
      <c r="B3" s="9" t="s">
        <v>67</v>
      </c>
      <c r="C3" s="9" t="s">
        <v>70</v>
      </c>
      <c r="D3" s="9" t="s">
        <v>71</v>
      </c>
    </row>
    <row r="4" spans="1:20" x14ac:dyDescent="0.25">
      <c r="A4" s="7" t="s">
        <v>59</v>
      </c>
      <c r="B4" s="7" t="s">
        <v>69</v>
      </c>
      <c r="C4" s="8">
        <v>10</v>
      </c>
      <c r="D4" s="4"/>
    </row>
    <row r="5" spans="1:20" x14ac:dyDescent="0.25">
      <c r="A5" s="7" t="s">
        <v>60</v>
      </c>
      <c r="B5" s="7" t="s">
        <v>68</v>
      </c>
      <c r="C5" s="8">
        <v>25</v>
      </c>
      <c r="D5" s="4"/>
    </row>
    <row r="6" spans="1:20" x14ac:dyDescent="0.25">
      <c r="A6" s="7" t="s">
        <v>61</v>
      </c>
      <c r="B6" s="7" t="s">
        <v>69</v>
      </c>
      <c r="C6" s="8">
        <v>10</v>
      </c>
      <c r="D6" s="4"/>
    </row>
    <row r="7" spans="1:20" x14ac:dyDescent="0.25">
      <c r="A7" s="7" t="s">
        <v>62</v>
      </c>
      <c r="B7" s="7" t="s">
        <v>68</v>
      </c>
      <c r="C7" s="8">
        <v>25</v>
      </c>
      <c r="D7" s="4"/>
    </row>
    <row r="8" spans="1:20" x14ac:dyDescent="0.25">
      <c r="A8" s="7" t="s">
        <v>63</v>
      </c>
      <c r="B8" s="7" t="s">
        <v>69</v>
      </c>
      <c r="C8" s="8">
        <v>10</v>
      </c>
      <c r="D8" s="4"/>
    </row>
    <row r="9" spans="1:20" x14ac:dyDescent="0.25">
      <c r="A9" s="7" t="s">
        <v>64</v>
      </c>
      <c r="B9" s="7" t="s">
        <v>68</v>
      </c>
      <c r="C9" s="8">
        <v>25</v>
      </c>
      <c r="D9" s="4"/>
    </row>
    <row r="10" spans="1:20" x14ac:dyDescent="0.25">
      <c r="A10" s="7" t="s">
        <v>65</v>
      </c>
      <c r="B10" s="7" t="s">
        <v>69</v>
      </c>
      <c r="C10" s="8">
        <v>10</v>
      </c>
      <c r="D10" s="4"/>
    </row>
    <row r="11" spans="1:20" x14ac:dyDescent="0.25">
      <c r="A11" s="7" t="s">
        <v>66</v>
      </c>
      <c r="B11" s="7" t="s">
        <v>68</v>
      </c>
      <c r="C11" s="8">
        <v>25</v>
      </c>
      <c r="D11" s="4"/>
    </row>
  </sheetData>
  <conditionalFormatting sqref="D4:D11">
    <cfRule type="cellIs" dxfId="1" priority="1" operator="equal">
      <formula>"Occupied"</formula>
    </cfRule>
    <cfRule type="cellIs" dxfId="0" priority="2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2"/>
  <sheetViews>
    <sheetView workbookViewId="0">
      <selection activeCell="B33" sqref="B33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S2"/>
  <sheetViews>
    <sheetView workbookViewId="0">
      <selection activeCell="I21" sqref="I21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Halster B+B</vt:lpstr>
      <vt:lpstr>Customer Information</vt:lpstr>
      <vt:lpstr>Bookings Information</vt:lpstr>
      <vt:lpstr>Room Information</vt:lpstr>
      <vt:lpstr>Monthly Calculations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2013-05-07T12:14:33Z</dcterms:modified>
</cp:coreProperties>
</file>