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workbookProtection lockStructure="1"/>
  <bookViews>
    <workbookView xWindow="0" yWindow="0" windowWidth="19440" windowHeight="11760" tabRatio="801" activeTab="4"/>
  </bookViews>
  <sheets>
    <sheet name="Home" sheetId="1" r:id="rId1"/>
    <sheet name="Customers" sheetId="6" r:id="rId2"/>
    <sheet name="Bookings" sheetId="7" r:id="rId3"/>
    <sheet name="Rooms" sheetId="8" r:id="rId4"/>
    <sheet name="Expenditure" sheetId="9" r:id="rId5"/>
    <sheet name="Invoice" sheetId="10" r:id="rId6"/>
  </sheets>
  <definedNames>
    <definedName name="_xlnm._FilterDatabase" localSheetId="2" hidden="1">Bookings!$C$5:$L$12</definedName>
    <definedName name="_xlnm._FilterDatabase" localSheetId="1" hidden="1">Customers!$A$4:$A$12</definedName>
    <definedName name="data" localSheetId="5">Invoice!#REF!</definedName>
    <definedName name="_xlnm.Print_Area" localSheetId="4">Expenditure!$A$9:$L$22</definedName>
  </definedNames>
  <calcPr calcId="145621"/>
</workbook>
</file>

<file path=xl/calcChain.xml><?xml version="1.0" encoding="utf-8"?>
<calcChain xmlns="http://schemas.openxmlformats.org/spreadsheetml/2006/main">
  <c r="L6" i="9" l="1"/>
  <c r="H11" i="9" s="1"/>
  <c r="I11" i="9" s="1"/>
  <c r="J6" i="9"/>
  <c r="F14" i="9" s="1"/>
  <c r="G14" i="9" s="1"/>
  <c r="F11" i="9"/>
  <c r="G11" i="9" s="1"/>
  <c r="H6" i="9"/>
  <c r="H7" i="9" s="1"/>
  <c r="B26" i="9" s="1"/>
  <c r="L7" i="7"/>
  <c r="K7" i="7"/>
  <c r="J7" i="7"/>
  <c r="I7" i="7"/>
  <c r="H7" i="7"/>
  <c r="G7" i="7"/>
  <c r="F7" i="7"/>
  <c r="E7" i="7"/>
  <c r="D7" i="7"/>
  <c r="C7" i="7"/>
  <c r="D6" i="9"/>
  <c r="E6" i="9"/>
  <c r="F6" i="9"/>
  <c r="C20" i="9"/>
  <c r="C16" i="9"/>
  <c r="C12" i="9"/>
  <c r="C11" i="9"/>
  <c r="C19" i="9"/>
  <c r="C15" i="9"/>
  <c r="B25" i="9"/>
  <c r="C22" i="9"/>
  <c r="C18" i="9"/>
  <c r="C14" i="9"/>
  <c r="C21" i="9"/>
  <c r="C17" i="9"/>
  <c r="C13" i="9"/>
  <c r="L22" i="9"/>
  <c r="U1" i="8"/>
  <c r="V1" i="8"/>
  <c r="L12" i="9"/>
  <c r="L13" i="9"/>
  <c r="L14" i="9"/>
  <c r="L15" i="9"/>
  <c r="L16" i="9"/>
  <c r="L17" i="9"/>
  <c r="L18" i="9"/>
  <c r="L19" i="9"/>
  <c r="L20" i="9"/>
  <c r="L21" i="9"/>
  <c r="L11" i="9"/>
  <c r="D15" i="9"/>
  <c r="E15" i="9" s="1"/>
  <c r="N11" i="9"/>
  <c r="M25" i="9"/>
  <c r="D22" i="9"/>
  <c r="E22" i="9" s="1"/>
  <c r="D14" i="9"/>
  <c r="E14" i="9" s="1"/>
  <c r="D20" i="9"/>
  <c r="E20" i="9" s="1"/>
  <c r="D12" i="9"/>
  <c r="E12" i="9" s="1"/>
  <c r="Y6" i="7"/>
  <c r="W6" i="7"/>
  <c r="R3" i="10" s="1"/>
  <c r="F9" i="7"/>
  <c r="K2" i="10"/>
  <c r="F17" i="9"/>
  <c r="G17" i="9" s="1"/>
  <c r="F21" i="9"/>
  <c r="G21" i="9" s="1"/>
  <c r="F15" i="9"/>
  <c r="G15" i="9" s="1"/>
  <c r="F12" i="9"/>
  <c r="G12" i="9" s="1"/>
  <c r="W8" i="7"/>
  <c r="W10" i="7"/>
  <c r="R5" i="10" s="1"/>
  <c r="W11" i="7"/>
  <c r="W9" i="7"/>
  <c r="W12" i="7"/>
  <c r="R9" i="10" s="1"/>
  <c r="W7" i="7"/>
  <c r="R4" i="10" s="1"/>
  <c r="W5" i="7"/>
  <c r="R2" i="10" s="1"/>
  <c r="T3" i="10"/>
  <c r="T4" i="10"/>
  <c r="T5" i="10"/>
  <c r="T6" i="10"/>
  <c r="T7" i="10"/>
  <c r="T8" i="10"/>
  <c r="T9" i="10"/>
  <c r="N4" i="7"/>
  <c r="O4" i="7"/>
  <c r="AA7" i="7"/>
  <c r="AA5" i="7"/>
  <c r="P2" i="10" s="1"/>
  <c r="AA6" i="7"/>
  <c r="P3" i="10" s="1"/>
  <c r="AA8" i="7"/>
  <c r="AA10" i="7"/>
  <c r="AA11" i="7"/>
  <c r="P6" i="10" s="1"/>
  <c r="AA9" i="7"/>
  <c r="AA12" i="7"/>
  <c r="P9" i="10" s="1"/>
  <c r="U6" i="7"/>
  <c r="U8" i="7"/>
  <c r="U10" i="7"/>
  <c r="U11" i="7"/>
  <c r="U9" i="7"/>
  <c r="U12" i="7"/>
  <c r="U7" i="7"/>
  <c r="U5" i="7"/>
  <c r="R6" i="7"/>
  <c r="R8" i="7"/>
  <c r="R10" i="7"/>
  <c r="R11" i="7"/>
  <c r="R9" i="7"/>
  <c r="R12" i="7"/>
  <c r="M3" i="10"/>
  <c r="M4" i="10"/>
  <c r="M5" i="10"/>
  <c r="M6" i="10"/>
  <c r="M7" i="10"/>
  <c r="M8" i="10"/>
  <c r="M9" i="10"/>
  <c r="M2" i="10"/>
  <c r="AC6" i="7"/>
  <c r="AC8" i="7"/>
  <c r="AC10" i="7"/>
  <c r="AC11" i="7"/>
  <c r="AC9" i="7"/>
  <c r="AC12" i="7"/>
  <c r="AC7" i="7"/>
  <c r="AC5" i="7"/>
  <c r="Q2" i="10" s="1"/>
  <c r="Y8" i="7"/>
  <c r="Y10" i="7"/>
  <c r="Y11" i="7"/>
  <c r="Y9" i="7"/>
  <c r="Y12" i="7"/>
  <c r="Y7" i="7"/>
  <c r="Y5" i="7"/>
  <c r="O2" i="10" s="1"/>
  <c r="O3" i="10"/>
  <c r="T2" i="10"/>
  <c r="L3" i="10"/>
  <c r="L4" i="10"/>
  <c r="L5" i="10"/>
  <c r="L6" i="10"/>
  <c r="L7" i="10"/>
  <c r="L8" i="10"/>
  <c r="L9" i="10"/>
  <c r="L2" i="10"/>
  <c r="K1" i="10"/>
  <c r="K3" i="10"/>
  <c r="K4" i="10"/>
  <c r="K5" i="10"/>
  <c r="K6" i="10"/>
  <c r="K7" i="10"/>
  <c r="K8" i="10"/>
  <c r="K9" i="10"/>
  <c r="J2" i="10"/>
  <c r="J3" i="10"/>
  <c r="J4" i="10"/>
  <c r="J5" i="10"/>
  <c r="J6" i="10"/>
  <c r="J7" i="10"/>
  <c r="J8" i="10"/>
  <c r="J9" i="10"/>
  <c r="J1" i="10"/>
  <c r="H1" i="10"/>
  <c r="F1" i="10"/>
  <c r="G1" i="10"/>
  <c r="I1" i="10"/>
  <c r="E1" i="10"/>
  <c r="D1" i="10"/>
  <c r="C1" i="10"/>
  <c r="B1" i="10"/>
  <c r="A2" i="10"/>
  <c r="A3" i="10"/>
  <c r="A4" i="10"/>
  <c r="A5" i="10"/>
  <c r="A6" i="10"/>
  <c r="A7" i="10"/>
  <c r="A8" i="10"/>
  <c r="A9" i="10"/>
  <c r="A1" i="10"/>
  <c r="R7" i="7"/>
  <c r="R5" i="7"/>
  <c r="N7" i="7"/>
  <c r="N6" i="7"/>
  <c r="N8" i="7"/>
  <c r="N10" i="7"/>
  <c r="N11" i="7"/>
  <c r="N9" i="7"/>
  <c r="N12" i="7"/>
  <c r="N5" i="7"/>
  <c r="P6" i="7"/>
  <c r="P8" i="7"/>
  <c r="P10" i="7"/>
  <c r="P11" i="7"/>
  <c r="P9" i="7"/>
  <c r="P12" i="7"/>
  <c r="P7" i="7"/>
  <c r="P5" i="7"/>
  <c r="O6" i="7"/>
  <c r="O8" i="7"/>
  <c r="O10" i="7"/>
  <c r="O11" i="7"/>
  <c r="O9" i="7"/>
  <c r="O12" i="7"/>
  <c r="O7" i="7"/>
  <c r="O5" i="7"/>
  <c r="L6" i="7"/>
  <c r="I3" i="10" s="1"/>
  <c r="L9" i="7"/>
  <c r="L8" i="7"/>
  <c r="L12" i="7"/>
  <c r="L10" i="7"/>
  <c r="L11" i="7"/>
  <c r="I6" i="10" s="1"/>
  <c r="L5" i="7"/>
  <c r="I2" i="10" s="1"/>
  <c r="K6" i="7"/>
  <c r="H3" i="10" s="1"/>
  <c r="K9" i="7"/>
  <c r="K8" i="7"/>
  <c r="H4" i="10" s="1"/>
  <c r="K12" i="7"/>
  <c r="H9" i="10" s="1"/>
  <c r="K10" i="7"/>
  <c r="K11" i="7"/>
  <c r="K5" i="7"/>
  <c r="H2" i="10" s="1"/>
  <c r="J6" i="7"/>
  <c r="G3" i="10" s="1"/>
  <c r="J9" i="7"/>
  <c r="J8" i="7"/>
  <c r="J12" i="7"/>
  <c r="J10" i="7"/>
  <c r="J11" i="7"/>
  <c r="G6" i="10" s="1"/>
  <c r="J5" i="7"/>
  <c r="G2" i="10" s="1"/>
  <c r="I6" i="7"/>
  <c r="F3" i="10" s="1"/>
  <c r="I9" i="7"/>
  <c r="I8" i="7"/>
  <c r="F4" i="10" s="1"/>
  <c r="I12" i="7"/>
  <c r="I10" i="7"/>
  <c r="I11" i="7"/>
  <c r="I5" i="7"/>
  <c r="F2" i="10" s="1"/>
  <c r="H6" i="7"/>
  <c r="E3" i="10" s="1"/>
  <c r="H9" i="7"/>
  <c r="H8" i="7"/>
  <c r="H12" i="7"/>
  <c r="H10" i="7"/>
  <c r="H11" i="7"/>
  <c r="H5" i="7"/>
  <c r="E2" i="10" s="1"/>
  <c r="G6" i="7"/>
  <c r="G9" i="7"/>
  <c r="G8" i="7"/>
  <c r="G12" i="7"/>
  <c r="G10" i="7"/>
  <c r="G11" i="7"/>
  <c r="G5" i="7"/>
  <c r="F6" i="7"/>
  <c r="F8" i="7"/>
  <c r="F12" i="7"/>
  <c r="F10" i="7"/>
  <c r="F11" i="7"/>
  <c r="F5" i="7"/>
  <c r="E6" i="7"/>
  <c r="D3" i="10" s="1"/>
  <c r="E9" i="7"/>
  <c r="E8" i="7"/>
  <c r="D4" i="10" s="1"/>
  <c r="E12" i="7"/>
  <c r="E10" i="7"/>
  <c r="E11" i="7"/>
  <c r="E5" i="7"/>
  <c r="D2" i="10" s="1"/>
  <c r="D6" i="7"/>
  <c r="C3" i="10" s="1"/>
  <c r="D9" i="7"/>
  <c r="D8" i="7"/>
  <c r="D12" i="7"/>
  <c r="D10" i="7"/>
  <c r="D11" i="7"/>
  <c r="D5" i="7"/>
  <c r="C2" i="10" s="1"/>
  <c r="C5" i="7"/>
  <c r="B2" i="10" s="1"/>
  <c r="C6" i="7"/>
  <c r="B3" i="10" s="1"/>
  <c r="C9" i="7"/>
  <c r="C8" i="7"/>
  <c r="C12" i="7"/>
  <c r="C10" i="7"/>
  <c r="C11" i="7"/>
  <c r="P4" i="7"/>
  <c r="M4" i="7"/>
  <c r="F5" i="10" l="1"/>
  <c r="AD12" i="7"/>
  <c r="AD8" i="7"/>
  <c r="AE8" i="7" s="1"/>
  <c r="O6" i="10"/>
  <c r="Q9" i="10"/>
  <c r="D5" i="10"/>
  <c r="E5" i="10"/>
  <c r="F8" i="10"/>
  <c r="I5" i="10"/>
  <c r="R7" i="10"/>
  <c r="AD5" i="7"/>
  <c r="AD11" i="7"/>
  <c r="G8" i="10"/>
  <c r="B5" i="10"/>
  <c r="C5" i="10"/>
  <c r="D8" i="10"/>
  <c r="E8" i="10"/>
  <c r="R8" i="10"/>
  <c r="E4" i="10"/>
  <c r="Q6" i="10"/>
  <c r="AD7" i="7"/>
  <c r="AD10" i="7"/>
  <c r="AE10" i="7" s="1"/>
  <c r="P7" i="10"/>
  <c r="B6" i="10"/>
  <c r="C6" i="10"/>
  <c r="H6" i="10"/>
  <c r="O9" i="10"/>
  <c r="O5" i="10"/>
  <c r="Q8" i="10"/>
  <c r="P5" i="10"/>
  <c r="B9" i="10"/>
  <c r="B7" i="10"/>
  <c r="C7" i="10"/>
  <c r="I7" i="10"/>
  <c r="G4" i="10"/>
  <c r="H7" i="10"/>
  <c r="D9" i="10"/>
  <c r="C8" i="10"/>
  <c r="F6" i="10"/>
  <c r="G7" i="10"/>
  <c r="H5" i="10"/>
  <c r="I8" i="10"/>
  <c r="Q4" i="10"/>
  <c r="AD9" i="7"/>
  <c r="AE9" i="7" s="1"/>
  <c r="AD6" i="7"/>
  <c r="AE6" i="7" s="1"/>
  <c r="S3" i="10" s="1"/>
  <c r="F20" i="9"/>
  <c r="G20" i="9" s="1"/>
  <c r="F22" i="9"/>
  <c r="G22" i="9" s="1"/>
  <c r="F13" i="9"/>
  <c r="G13" i="9" s="1"/>
  <c r="N9" i="10"/>
  <c r="E9" i="10"/>
  <c r="I9" i="10"/>
  <c r="B4" i="10"/>
  <c r="C4" i="10"/>
  <c r="D6" i="10"/>
  <c r="D7" i="10"/>
  <c r="E6" i="10"/>
  <c r="E7" i="10"/>
  <c r="F9" i="10"/>
  <c r="F7" i="10"/>
  <c r="G5" i="10"/>
  <c r="H8" i="10"/>
  <c r="I4" i="10"/>
  <c r="Q5" i="10"/>
  <c r="O8" i="10"/>
  <c r="O4" i="10"/>
  <c r="Q7" i="10"/>
  <c r="P8" i="10"/>
  <c r="P4" i="10"/>
  <c r="R6" i="10"/>
  <c r="F16" i="9"/>
  <c r="G16" i="9" s="1"/>
  <c r="F18" i="9"/>
  <c r="G18" i="9" s="1"/>
  <c r="J7" i="9"/>
  <c r="B27" i="9" s="1"/>
  <c r="G9" i="10"/>
  <c r="N8" i="10"/>
  <c r="AE7" i="7"/>
  <c r="Q3" i="10"/>
  <c r="O7" i="10"/>
  <c r="AE5" i="7"/>
  <c r="S2" i="10" s="1"/>
  <c r="AE12" i="7"/>
  <c r="AE11" i="7"/>
  <c r="C9" i="10"/>
  <c r="N7" i="10"/>
  <c r="N6" i="10"/>
  <c r="N3" i="10"/>
  <c r="N4" i="10"/>
  <c r="B8" i="10"/>
  <c r="N2" i="10"/>
  <c r="N5" i="10"/>
  <c r="D17" i="9"/>
  <c r="E17" i="9" s="1"/>
  <c r="H16" i="9"/>
  <c r="I16" i="9" s="1"/>
  <c r="H19" i="9"/>
  <c r="I19" i="9" s="1"/>
  <c r="H21" i="9"/>
  <c r="I21" i="9" s="1"/>
  <c r="H13" i="9"/>
  <c r="I13" i="9" s="1"/>
  <c r="H18" i="9"/>
  <c r="I18" i="9" s="1"/>
  <c r="L7" i="9"/>
  <c r="B28" i="9" s="1"/>
  <c r="D19" i="9"/>
  <c r="E19" i="9" s="1"/>
  <c r="D16" i="9"/>
  <c r="E16" i="9" s="1"/>
  <c r="D13" i="9"/>
  <c r="E13" i="9" s="1"/>
  <c r="D21" i="9"/>
  <c r="E21" i="9" s="1"/>
  <c r="D18" i="9"/>
  <c r="E18" i="9" s="1"/>
  <c r="D11" i="9"/>
  <c r="E11" i="9" s="1"/>
  <c r="J11" i="9" s="1"/>
  <c r="H20" i="9"/>
  <c r="I20" i="9" s="1"/>
  <c r="H12" i="9"/>
  <c r="I12" i="9" s="1"/>
  <c r="J12" i="9" s="1"/>
  <c r="H15" i="9"/>
  <c r="I15" i="9" s="1"/>
  <c r="J15" i="9" s="1"/>
  <c r="H17" i="9"/>
  <c r="I17" i="9" s="1"/>
  <c r="J17" i="9" s="1"/>
  <c r="H22" i="9"/>
  <c r="I22" i="9" s="1"/>
  <c r="H14" i="9"/>
  <c r="I14" i="9" s="1"/>
  <c r="J14" i="9" s="1"/>
  <c r="F19" i="9"/>
  <c r="G19" i="9" s="1"/>
  <c r="J22" i="9" l="1"/>
  <c r="J20" i="9"/>
  <c r="S7" i="10"/>
  <c r="S8" i="10"/>
  <c r="S4" i="10"/>
  <c r="S5" i="10"/>
  <c r="B30" i="9"/>
  <c r="B32" i="9" s="1"/>
  <c r="S6" i="10"/>
  <c r="S9" i="10"/>
  <c r="J21" i="9"/>
  <c r="J18" i="9"/>
  <c r="J16" i="9"/>
  <c r="J19" i="9"/>
  <c r="J13" i="9"/>
</calcChain>
</file>

<file path=xl/comments1.xml><?xml version="1.0" encoding="utf-8"?>
<comments xmlns="http://schemas.openxmlformats.org/spreadsheetml/2006/main">
  <authors>
    <author>Dee Roberts</author>
  </authors>
  <commentList>
    <comment ref="B4" authorId="0">
      <text>
        <r>
          <rPr>
            <b/>
            <sz val="9"/>
            <color indexed="81"/>
            <rFont val="Tahoma"/>
            <family val="2"/>
          </rPr>
          <t>Dee Roberts:</t>
        </r>
        <r>
          <rPr>
            <sz val="9"/>
            <color indexed="81"/>
            <rFont val="Tahoma"/>
            <family val="2"/>
          </rPr>
          <t xml:space="preserve">
Change the Customer ID to automatically change all the other columns.</t>
        </r>
      </text>
    </comment>
  </commentList>
</comments>
</file>

<file path=xl/comments2.xml><?xml version="1.0" encoding="utf-8"?>
<comments xmlns="http://schemas.openxmlformats.org/spreadsheetml/2006/main">
  <authors>
    <author>Dee Roberts</author>
    <author>The Priory School</author>
  </authors>
  <commentList>
    <comment ref="D4" authorId="0">
      <text>
        <r>
          <rPr>
            <b/>
            <sz val="9"/>
            <color indexed="81"/>
            <rFont val="Tahoma"/>
            <family val="2"/>
          </rPr>
          <t>Dee Roberts:</t>
        </r>
        <r>
          <rPr>
            <sz val="9"/>
            <color indexed="81"/>
            <rFont val="Tahoma"/>
            <family val="2"/>
          </rPr>
          <t xml:space="preserve">
This will directly affect other factors.
</t>
        </r>
      </text>
    </comment>
    <comment ref="E4" authorId="1">
      <text>
        <r>
          <rPr>
            <b/>
            <sz val="9"/>
            <color indexed="81"/>
            <rFont val="Tahoma"/>
            <family val="2"/>
          </rPr>
          <t>The Priory School:</t>
        </r>
        <r>
          <rPr>
            <sz val="9"/>
            <color indexed="81"/>
            <rFont val="Tahoma"/>
            <family val="2"/>
          </rPr>
          <t xml:space="preserve">
If you ever expand the business, these options can be changed to suit the new needs.</t>
        </r>
      </text>
    </comment>
  </commentList>
</comments>
</file>

<file path=xl/connections.xml><?xml version="1.0" encoding="utf-8"?>
<connections xmlns="http://schemas.openxmlformats.org/spreadsheetml/2006/main">
  <connection id="1" name="data" type="6" refreshedVersion="4" background="1">
    <textPr codePage="932" sourceFile="U:\ICT\Year 10 Core ICT\CA_Dee_Roberts\Booking System\data.txt">
      <textFields>
        <textField/>
      </textFields>
    </textPr>
  </connection>
</connections>
</file>

<file path=xl/sharedStrings.xml><?xml version="1.0" encoding="utf-8"?>
<sst xmlns="http://schemas.openxmlformats.org/spreadsheetml/2006/main" count="286" uniqueCount="180">
  <si>
    <t>Customer ID</t>
  </si>
  <si>
    <t>Title</t>
  </si>
  <si>
    <t>First Name</t>
  </si>
  <si>
    <t>Second Name</t>
  </si>
  <si>
    <t>Address Line 1</t>
  </si>
  <si>
    <t>Address Line 2</t>
  </si>
  <si>
    <t>Address Line 3</t>
  </si>
  <si>
    <t>Address Line 4</t>
  </si>
  <si>
    <t>Address Line 5</t>
  </si>
  <si>
    <t>CUST_001</t>
  </si>
  <si>
    <t>CUST_002</t>
  </si>
  <si>
    <t>CUST_003</t>
  </si>
  <si>
    <t>CUST_004</t>
  </si>
  <si>
    <t>CUST_005</t>
  </si>
  <si>
    <t>CUST_006</t>
  </si>
  <si>
    <t>CUST_007</t>
  </si>
  <si>
    <t>CUST_008</t>
  </si>
  <si>
    <t>Ms</t>
  </si>
  <si>
    <t>Samantha</t>
  </si>
  <si>
    <t>85 Afghan Lane</t>
  </si>
  <si>
    <t>London</t>
  </si>
  <si>
    <t>Westminster</t>
  </si>
  <si>
    <t>England</t>
  </si>
  <si>
    <t>SY7 8EE</t>
  </si>
  <si>
    <t>Mrs</t>
  </si>
  <si>
    <t>Jebb</t>
  </si>
  <si>
    <t>Paulina</t>
  </si>
  <si>
    <t>97 Salmon Street</t>
  </si>
  <si>
    <t>Cheshire</t>
  </si>
  <si>
    <t>Ingoo Plaza</t>
  </si>
  <si>
    <t>Doctor</t>
  </si>
  <si>
    <t>Paul</t>
  </si>
  <si>
    <t>Jacobs</t>
  </si>
  <si>
    <t>32 Chip Avenue</t>
  </si>
  <si>
    <t>Birmingham</t>
  </si>
  <si>
    <t>The Bullring</t>
  </si>
  <si>
    <t>Lord</t>
  </si>
  <si>
    <t>Alan</t>
  </si>
  <si>
    <t>Sugar</t>
  </si>
  <si>
    <t>12 Youview Lane</t>
  </si>
  <si>
    <t>Hampshire</t>
  </si>
  <si>
    <t>Email Address</t>
  </si>
  <si>
    <t>Contact Number</t>
  </si>
  <si>
    <t>iraq@gov.com</t>
  </si>
  <si>
    <t>87864 345678</t>
  </si>
  <si>
    <t>87864 345679</t>
  </si>
  <si>
    <t>87864 345680</t>
  </si>
  <si>
    <t>87864 345681</t>
  </si>
  <si>
    <t>87864 345682</t>
  </si>
  <si>
    <t>87864 345683</t>
  </si>
  <si>
    <t>87864 345684</t>
  </si>
  <si>
    <t>87864 345685</t>
  </si>
  <si>
    <t>Tony</t>
  </si>
  <si>
    <t>Blair</t>
  </si>
  <si>
    <t>Hampshire Row</t>
  </si>
  <si>
    <t>foodie@gmail.com</t>
  </si>
  <si>
    <t xml:space="preserve"> Train Station</t>
  </si>
  <si>
    <t>Reading</t>
  </si>
  <si>
    <t>Room ID</t>
  </si>
  <si>
    <t>RM_01</t>
  </si>
  <si>
    <t>RM_02</t>
  </si>
  <si>
    <t>RM_03</t>
  </si>
  <si>
    <t>RM_04</t>
  </si>
  <si>
    <t>RM_05</t>
  </si>
  <si>
    <t>RM_06</t>
  </si>
  <si>
    <t>RM_07</t>
  </si>
  <si>
    <t>RM_08</t>
  </si>
  <si>
    <t>Room Type</t>
  </si>
  <si>
    <t>Double</t>
  </si>
  <si>
    <t>Twin</t>
  </si>
  <si>
    <t>Room Price</t>
  </si>
  <si>
    <t>Room Availability</t>
  </si>
  <si>
    <t>Booking ID</t>
  </si>
  <si>
    <t>Arrival Date</t>
  </si>
  <si>
    <t>Departure Date</t>
  </si>
  <si>
    <t>Number of Nights</t>
  </si>
  <si>
    <t>Booking Date</t>
  </si>
  <si>
    <t>Days until arrival</t>
  </si>
  <si>
    <t>Cleaning Services</t>
  </si>
  <si>
    <t>Internet Access</t>
  </si>
  <si>
    <t>Telephone Access</t>
  </si>
  <si>
    <t>Full Service</t>
  </si>
  <si>
    <t>Room Only</t>
  </si>
  <si>
    <t>Clothes Only</t>
  </si>
  <si>
    <t>Total Price</t>
  </si>
  <si>
    <t>Mornings</t>
  </si>
  <si>
    <t>All hours</t>
  </si>
  <si>
    <t>Afternoons</t>
  </si>
  <si>
    <t>Full Name</t>
  </si>
  <si>
    <t xml:space="preserve">Cleaning </t>
  </si>
  <si>
    <t>Cleaning Charge</t>
  </si>
  <si>
    <t>Internet</t>
  </si>
  <si>
    <t>Phone</t>
  </si>
  <si>
    <t>Date</t>
  </si>
  <si>
    <t>BOOK_001</t>
  </si>
  <si>
    <t>BOOK_002</t>
  </si>
  <si>
    <t>BOOK_003</t>
  </si>
  <si>
    <t>BOOK_004</t>
  </si>
  <si>
    <t>BOOK_005</t>
  </si>
  <si>
    <t>BOOK_006</t>
  </si>
  <si>
    <t>BOOK_007</t>
  </si>
  <si>
    <t>BOOK_008</t>
  </si>
  <si>
    <t>Internet Charge</t>
  </si>
  <si>
    <t>Telephone Charge</t>
  </si>
  <si>
    <t>10 Minutes</t>
  </si>
  <si>
    <t>20 Minutes</t>
  </si>
  <si>
    <t>Available</t>
  </si>
  <si>
    <t>Evenings</t>
  </si>
  <si>
    <t>All Day</t>
  </si>
  <si>
    <t>Total Cost</t>
  </si>
  <si>
    <t>Total Room Cost</t>
  </si>
  <si>
    <t>Cleaners</t>
  </si>
  <si>
    <t>Daily Cost</t>
  </si>
  <si>
    <t>Food Services</t>
  </si>
  <si>
    <t>Lunch</t>
  </si>
  <si>
    <t>Breakfast</t>
  </si>
  <si>
    <t>Evening</t>
  </si>
  <si>
    <t>Food Charge</t>
  </si>
  <si>
    <t>No Meals</t>
  </si>
  <si>
    <t>Food</t>
  </si>
  <si>
    <t>Breakfast Cost</t>
  </si>
  <si>
    <t>Lunch Cost</t>
  </si>
  <si>
    <t>Breakfast Customers</t>
  </si>
  <si>
    <t>Lunch Customers</t>
  </si>
  <si>
    <t>Individual Cost</t>
  </si>
  <si>
    <t>Evening Meal Cost</t>
  </si>
  <si>
    <t>Evening Customers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</si>
  <si>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</si>
  <si>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</si>
  <si>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</si>
  <si>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</si>
  <si>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</si>
  <si>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</si>
  <si>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</si>
  <si>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</si>
  <si>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</si>
  <si>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</si>
  <si>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</si>
  <si>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</si>
  <si>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Months</t>
  </si>
  <si>
    <t>Days in month</t>
  </si>
  <si>
    <t>Monthly cost of cleaners</t>
  </si>
  <si>
    <t>Number of breakfasts served</t>
  </si>
  <si>
    <t>Monthly cost of breakfasts</t>
  </si>
  <si>
    <t>Number of lunches served</t>
  </si>
  <si>
    <t>Monthly cost of lunches</t>
  </si>
  <si>
    <t>Monthly cost of evening meals</t>
  </si>
  <si>
    <t>Number of evening meals served</t>
  </si>
  <si>
    <t>Total monthly cost</t>
  </si>
  <si>
    <t>Monthly Expenditure</t>
  </si>
  <si>
    <t>Monthly income</t>
  </si>
  <si>
    <t>Number of rooms booked</t>
  </si>
  <si>
    <t>Total monthly income</t>
  </si>
  <si>
    <t>Cleaning cost per room</t>
  </si>
  <si>
    <t>Breakfast costs per room</t>
  </si>
  <si>
    <t>Overhead costs</t>
  </si>
  <si>
    <t>Total costs</t>
  </si>
  <si>
    <t>Price per room</t>
  </si>
  <si>
    <t>Lunch costs per room</t>
  </si>
  <si>
    <t>Evening meal cost per room</t>
  </si>
  <si>
    <t>Not Available</t>
  </si>
  <si>
    <t xml:space="preserve">                                                         </t>
  </si>
  <si>
    <t>No. Of Cleaners</t>
  </si>
  <si>
    <t>Hourly Pay</t>
  </si>
  <si>
    <t>Hours per week</t>
  </si>
  <si>
    <t>Weekly Cost</t>
  </si>
  <si>
    <t>Yearly Cost</t>
  </si>
  <si>
    <t>Profit / Loss Calculator</t>
  </si>
  <si>
    <t>Profit / Loss</t>
  </si>
  <si>
    <t>Professor</t>
  </si>
  <si>
    <t>Expansion Option</t>
  </si>
  <si>
    <t>Use goal seek to use the P/L Calculator - Data/What-if?/Goal Seek</t>
  </si>
  <si>
    <t>Thank you for using this booking system! It contains a wide variety of features to make running your business</t>
  </si>
  <si>
    <t>as simple as possible! Use the buttons above to navigate through the system, and begin running your business!</t>
  </si>
  <si>
    <t>Your data has already been inputted to suit your requirements, so you can get going right away! Certain sheets,</t>
  </si>
  <si>
    <t xml:space="preserve"> these pages have been locked. Please do not edit them - the system may break!</t>
  </si>
  <si>
    <t>If you have any queries about the system, do not hesitate to contact us!</t>
  </si>
  <si>
    <t xml:space="preserve"> such as the Bookings area, contain linked information from other pages. To preserve dexterity, certain cells in</t>
  </si>
  <si>
    <t>Please be advised that you cannot edit customer data from this page - that is done in 'Customers'</t>
  </si>
  <si>
    <t>Enter data by clicking on the appropriate cell and typing in the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</si>
</sst>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8" formatCode="&quot;£&quot;#,##0.00;[Red]\-&quot;£&quot;#,##0.00"/>
    <numFmt numFmtId="164" formatCode="&quot;£&quot;#,##0.00"/>
  </numFmts>
  <fonts count="1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80"/>
      <name val="Verdan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C000"/>
      <name val="Calibri"/>
      <family val="2"/>
      <scheme val="minor"/>
    </font>
    <font>
      <sz val="11"/>
      <color rgb="FFE67E22"/>
      <name val="Calibri"/>
      <family val="2"/>
      <scheme val="minor"/>
    </font>
    <font>
      <sz val="11"/>
      <color rgb="FF2C3E50"/>
      <name val="Calibri"/>
      <family val="2"/>
      <scheme val="minor"/>
    </font>
    <font>
      <sz val="11"/>
      <color theme="1"/>
      <name val="Plantagenet Cherokee"/>
      <family val="1"/>
    </font>
    <font>
      <sz val="16"/>
      <color theme="1"/>
      <name val="Plantagenet Cherokee"/>
      <family val="1"/>
    </font>
    <font>
      <sz val="16"/>
      <color rgb="FFFF0000"/>
      <name val="Plantagenet Cherokee"/>
      <family val="1"/>
    </font>
    <font>
      <b/>
      <sz val="11"/>
      <color theme="0"/>
      <name val="Plantagenet Cherokee"/>
      <family val="1"/>
    </font>
    <font>
      <u/>
      <sz val="11"/>
      <color theme="10"/>
      <name val="Plantagenet Cherokee"/>
      <family val="1"/>
    </font>
    <font>
      <b/>
      <sz val="11"/>
      <color theme="1"/>
      <name val="Plantagenet Cherokee"/>
      <family val="1"/>
    </font>
    <font>
      <b/>
      <sz val="11"/>
      <name val="Plantagenet Cherokee"/>
      <family val="1"/>
    </font>
    <font>
      <sz val="18"/>
      <color theme="1"/>
      <name val="Plantagenet Cherokee"/>
      <family val="1"/>
    </font>
  </fonts>
  <fills count="7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rgb="FF2C3E50"/>
        <bgColor indexed="64"/>
      </patternFill>
    </fill>
    <fill>
      <patternFill patternType="solid">
        <fgColor rgb="FF526E9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5B3D7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8">
    <xf numFmtId="0" fontId="0" fillId="0" borderId="0" xfId="0"/>
    <xf numFmtId="0" fontId="0" fillId="0" borderId="0" xfId="0" applyFill="1"/>
    <xf numFmtId="0" fontId="0" fillId="0" borderId="1" xfId="0" applyBorder="1"/>
    <xf numFmtId="0" fontId="0" fillId="0" borderId="0" xfId="0" applyAlignment="1">
      <alignment horizontal="center"/>
    </xf>
    <xf numFmtId="16" fontId="0" fillId="0" borderId="0" xfId="0" applyNumberFormat="1"/>
    <xf numFmtId="0" fontId="0" fillId="0" borderId="0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0" fillId="0" borderId="0" xfId="0" applyBorder="1"/>
    <xf numFmtId="8" fontId="0" fillId="0" borderId="0" xfId="0" applyNumberFormat="1" applyAlignment="1">
      <alignment horizontal="center"/>
    </xf>
    <xf numFmtId="18" fontId="0" fillId="0" borderId="0" xfId="0" applyNumberFormat="1"/>
    <xf numFmtId="0" fontId="0" fillId="0" borderId="1" xfId="0" applyFill="1" applyBorder="1" applyAlignment="1">
      <alignment horizontal="center"/>
    </xf>
    <xf numFmtId="8" fontId="0" fillId="0" borderId="1" xfId="0" applyNumberFormat="1" applyFill="1" applyBorder="1" applyAlignment="1">
      <alignment horizontal="center"/>
    </xf>
    <xf numFmtId="14" fontId="0" fillId="0" borderId="1" xfId="0" applyNumberFormat="1" applyFill="1" applyBorder="1" applyAlignment="1">
      <alignment horizontal="center"/>
    </xf>
    <xf numFmtId="14" fontId="0" fillId="0" borderId="1" xfId="0" applyNumberFormat="1" applyFill="1" applyBorder="1"/>
    <xf numFmtId="164" fontId="0" fillId="0" borderId="1" xfId="0" applyNumberFormat="1" applyFill="1" applyBorder="1" applyAlignment="1">
      <alignment horizontal="center"/>
    </xf>
    <xf numFmtId="164" fontId="3" fillId="0" borderId="0" xfId="0" applyNumberFormat="1" applyFont="1"/>
    <xf numFmtId="0" fontId="4" fillId="0" borderId="0" xfId="0" applyFont="1"/>
    <xf numFmtId="0" fontId="8" fillId="3" borderId="0" xfId="0" applyFont="1" applyFill="1"/>
    <xf numFmtId="0" fontId="7" fillId="4" borderId="0" xfId="0" applyFont="1" applyFill="1" applyBorder="1"/>
    <xf numFmtId="0" fontId="0" fillId="3" borderId="0" xfId="0" applyFill="1"/>
    <xf numFmtId="0" fontId="0" fillId="4" borderId="0" xfId="0" applyFill="1"/>
    <xf numFmtId="0" fontId="2" fillId="0" borderId="0" xfId="0" applyFont="1" applyFill="1" applyBorder="1" applyAlignment="1">
      <alignment horizontal="center" vertical="top"/>
    </xf>
    <xf numFmtId="0" fontId="9" fillId="3" borderId="0" xfId="0" applyFont="1" applyFill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5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10" fillId="0" borderId="0" xfId="0" applyFont="1" applyBorder="1"/>
    <xf numFmtId="0" fontId="11" fillId="0" borderId="0" xfId="0" applyFont="1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11" fillId="0" borderId="17" xfId="0" applyFont="1" applyBorder="1"/>
    <xf numFmtId="0" fontId="0" fillId="0" borderId="18" xfId="0" applyBorder="1"/>
    <xf numFmtId="0" fontId="11" fillId="0" borderId="19" xfId="0" applyFont="1" applyBorder="1"/>
    <xf numFmtId="0" fontId="12" fillId="0" borderId="19" xfId="0" applyFont="1" applyFill="1" applyBorder="1"/>
    <xf numFmtId="0" fontId="11" fillId="0" borderId="20" xfId="0" applyFont="1" applyBorder="1"/>
    <xf numFmtId="0" fontId="13" fillId="4" borderId="1" xfId="0" applyFont="1" applyFill="1" applyBorder="1" applyAlignment="1">
      <alignment horizontal="center" vertical="center"/>
    </xf>
    <xf numFmtId="0" fontId="10" fillId="0" borderId="1" xfId="0" applyFont="1" applyBorder="1" applyAlignment="1" applyProtection="1">
      <alignment horizontal="center"/>
      <protection locked="0"/>
    </xf>
    <xf numFmtId="0" fontId="14" fillId="0" borderId="1" xfId="1" applyFont="1" applyBorder="1" applyAlignment="1" applyProtection="1">
      <alignment horizontal="center"/>
      <protection locked="0"/>
    </xf>
    <xf numFmtId="0" fontId="10" fillId="0" borderId="1" xfId="0" applyFont="1" applyBorder="1" applyAlignment="1" applyProtection="1">
      <alignment horizontal="center" vertical="center"/>
    </xf>
    <xf numFmtId="0" fontId="10" fillId="0" borderId="1" xfId="0" applyFont="1" applyBorder="1" applyAlignment="1" applyProtection="1">
      <alignment horizontal="center" vertical="center"/>
      <protection locked="0"/>
    </xf>
    <xf numFmtId="164" fontId="10" fillId="0" borderId="1" xfId="0" applyNumberFormat="1" applyFont="1" applyBorder="1" applyAlignment="1" applyProtection="1">
      <alignment horizontal="center" vertical="center"/>
    </xf>
    <xf numFmtId="14" fontId="10" fillId="0" borderId="1" xfId="0" applyNumberFormat="1" applyFont="1" applyBorder="1" applyAlignment="1" applyProtection="1">
      <alignment horizontal="center" vertical="center"/>
    </xf>
    <xf numFmtId="0" fontId="10" fillId="0" borderId="1" xfId="0" applyFont="1" applyBorder="1" applyAlignment="1">
      <alignment horizontal="center" vertical="center"/>
    </xf>
    <xf numFmtId="164" fontId="10" fillId="0" borderId="1" xfId="0" applyNumberFormat="1" applyFont="1" applyBorder="1" applyAlignment="1">
      <alignment horizontal="center" vertical="center"/>
    </xf>
    <xf numFmtId="164" fontId="10" fillId="0" borderId="1" xfId="0" applyNumberFormat="1" applyFont="1" applyBorder="1" applyAlignment="1">
      <alignment horizontal="center"/>
    </xf>
    <xf numFmtId="164" fontId="10" fillId="0" borderId="1" xfId="0" applyNumberFormat="1" applyFont="1" applyBorder="1" applyAlignment="1" applyProtection="1">
      <alignment horizontal="center" vertical="center"/>
      <protection locked="0"/>
    </xf>
    <xf numFmtId="0" fontId="10" fillId="0" borderId="1" xfId="0" applyFont="1" applyBorder="1"/>
    <xf numFmtId="0" fontId="15" fillId="6" borderId="1" xfId="0" applyFont="1" applyFill="1" applyBorder="1" applyAlignment="1">
      <alignment horizontal="center"/>
    </xf>
    <xf numFmtId="0" fontId="15" fillId="6" borderId="3" xfId="0" applyFont="1" applyFill="1" applyBorder="1" applyAlignment="1">
      <alignment horizontal="center"/>
    </xf>
    <xf numFmtId="0" fontId="10" fillId="0" borderId="1" xfId="0" applyFont="1" applyBorder="1" applyAlignment="1">
      <alignment horizontal="center"/>
    </xf>
    <xf numFmtId="8" fontId="10" fillId="0" borderId="1" xfId="0" applyNumberFormat="1" applyFont="1" applyBorder="1" applyAlignment="1">
      <alignment horizontal="center"/>
    </xf>
    <xf numFmtId="0" fontId="10" fillId="0" borderId="0" xfId="0" applyFont="1"/>
    <xf numFmtId="164" fontId="10" fillId="0" borderId="0" xfId="0" applyNumberFormat="1" applyFont="1" applyBorder="1" applyAlignment="1" applyProtection="1">
      <alignment horizontal="center"/>
      <protection locked="0"/>
    </xf>
    <xf numFmtId="0" fontId="10" fillId="0" borderId="0" xfId="0" applyFont="1" applyBorder="1" applyAlignment="1">
      <alignment horizontal="center"/>
    </xf>
    <xf numFmtId="0" fontId="10" fillId="0" borderId="1" xfId="0" applyNumberFormat="1" applyFont="1" applyBorder="1" applyAlignment="1">
      <alignment horizontal="center"/>
    </xf>
    <xf numFmtId="0" fontId="10" fillId="0" borderId="5" xfId="0" applyFont="1" applyBorder="1" applyAlignment="1">
      <alignment horizontal="left"/>
    </xf>
    <xf numFmtId="0" fontId="10" fillId="0" borderId="0" xfId="0" applyFont="1" applyAlignment="1">
      <alignment horizontal="left"/>
    </xf>
    <xf numFmtId="0" fontId="13" fillId="4" borderId="3" xfId="0" applyFont="1" applyFill="1" applyBorder="1" applyAlignment="1">
      <alignment horizontal="center" vertical="center"/>
    </xf>
    <xf numFmtId="0" fontId="13" fillId="4" borderId="4" xfId="0" applyFont="1" applyFill="1" applyBorder="1" applyAlignment="1">
      <alignment horizontal="center" vertical="center"/>
    </xf>
    <xf numFmtId="0" fontId="13" fillId="4" borderId="2" xfId="0" applyFont="1" applyFill="1" applyBorder="1" applyAlignment="1">
      <alignment horizontal="center" vertical="center"/>
    </xf>
    <xf numFmtId="0" fontId="15" fillId="2" borderId="3" xfId="0" applyFont="1" applyFill="1" applyBorder="1" applyAlignment="1">
      <alignment horizontal="center" vertical="top"/>
    </xf>
    <xf numFmtId="0" fontId="15" fillId="2" borderId="2" xfId="0" applyFont="1" applyFill="1" applyBorder="1" applyAlignment="1">
      <alignment horizontal="center" vertical="top"/>
    </xf>
    <xf numFmtId="0" fontId="13" fillId="4" borderId="3" xfId="0" applyFont="1" applyFill="1" applyBorder="1" applyAlignment="1">
      <alignment horizontal="center"/>
    </xf>
    <xf numFmtId="0" fontId="13" fillId="4" borderId="2" xfId="0" applyFont="1" applyFill="1" applyBorder="1" applyAlignment="1">
      <alignment horizontal="center"/>
    </xf>
    <xf numFmtId="0" fontId="17" fillId="0" borderId="0" xfId="0" applyFont="1" applyBorder="1" applyAlignment="1">
      <alignment horizontal="center"/>
    </xf>
    <xf numFmtId="0" fontId="10" fillId="0" borderId="1" xfId="0" applyFont="1" applyBorder="1" applyAlignment="1" applyProtection="1">
      <alignment horizontal="center"/>
    </xf>
    <xf numFmtId="0" fontId="10" fillId="0" borderId="0" xfId="0" applyFont="1" applyFill="1" applyAlignment="1">
      <alignment horizontal="center"/>
    </xf>
    <xf numFmtId="0" fontId="11" fillId="0" borderId="0" xfId="0" applyFont="1" applyFill="1" applyAlignment="1">
      <alignment horizontal="center"/>
    </xf>
    <xf numFmtId="0" fontId="13" fillId="4" borderId="1" xfId="0" applyFont="1" applyFill="1" applyBorder="1" applyAlignment="1" applyProtection="1">
      <alignment horizontal="center" vertical="center" wrapText="1"/>
    </xf>
    <xf numFmtId="0" fontId="13" fillId="4" borderId="1" xfId="0" applyFont="1" applyFill="1" applyBorder="1" applyAlignment="1">
      <alignment horizontal="center" vertical="center" wrapText="1"/>
    </xf>
    <xf numFmtId="0" fontId="13" fillId="4" borderId="1" xfId="0" applyFont="1" applyFill="1" applyBorder="1" applyAlignment="1">
      <alignment horizontal="center" vertical="center"/>
    </xf>
    <xf numFmtId="0" fontId="16" fillId="6" borderId="1" xfId="0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 wrapText="1"/>
    </xf>
    <xf numFmtId="0" fontId="15" fillId="5" borderId="1" xfId="0" applyFont="1" applyFill="1" applyBorder="1" applyAlignment="1">
      <alignment horizontal="center" vertical="center"/>
    </xf>
    <xf numFmtId="0" fontId="15" fillId="6" borderId="1" xfId="0" applyFont="1" applyFill="1" applyBorder="1" applyAlignment="1">
      <alignment horizontal="center" vertical="center"/>
    </xf>
    <xf numFmtId="0" fontId="15" fillId="6" borderId="3" xfId="0" applyFont="1" applyFill="1" applyBorder="1" applyAlignment="1">
      <alignment horizontal="center" vertical="center"/>
    </xf>
    <xf numFmtId="8" fontId="10" fillId="0" borderId="1" xfId="0" applyNumberFormat="1" applyFont="1" applyBorder="1" applyAlignment="1" applyProtection="1">
      <alignment horizontal="center" vertical="center"/>
      <protection locked="0"/>
    </xf>
  </cellXfs>
  <cellStyles count="2">
    <cellStyle name="Hyperlink" xfId="1" builtinId="8"/>
    <cellStyle name="Normal" xfId="0" builtinId="0"/>
  </cellStyles>
  <dxfs count="1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526E90"/>
      <color rgb="FF2C3E50"/>
      <color rgb="FF95B3D7"/>
      <color rgb="FFD3D3D3"/>
      <color rgb="FFE0E0E0"/>
      <color rgb="FFFBFBFB"/>
      <color rgb="FFF3F3F3"/>
      <color rgb="FF7F8C8D"/>
      <color rgb="FF6281A6"/>
      <color rgb="FF35485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ooms!A1"/><Relationship Id="rId2" Type="http://schemas.openxmlformats.org/officeDocument/2006/relationships/hyperlink" Target="#Bookings!A1"/><Relationship Id="rId1" Type="http://schemas.openxmlformats.org/officeDocument/2006/relationships/hyperlink" Target="#Customers!A1"/><Relationship Id="rId6" Type="http://schemas.openxmlformats.org/officeDocument/2006/relationships/image" Target="../media/image1.png"/><Relationship Id="rId5" Type="http://schemas.openxmlformats.org/officeDocument/2006/relationships/hyperlink" Target="#Invoice!A1"/><Relationship Id="rId4" Type="http://schemas.openxmlformats.org/officeDocument/2006/relationships/hyperlink" Target="#Expenditure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Rooms!A1"/><Relationship Id="rId2" Type="http://schemas.openxmlformats.org/officeDocument/2006/relationships/hyperlink" Target="#Bookings!A1"/><Relationship Id="rId1" Type="http://schemas.openxmlformats.org/officeDocument/2006/relationships/hyperlink" Target="#Customers!A1"/><Relationship Id="rId6" Type="http://schemas.openxmlformats.org/officeDocument/2006/relationships/image" Target="../media/image1.png"/><Relationship Id="rId5" Type="http://schemas.openxmlformats.org/officeDocument/2006/relationships/hyperlink" Target="#Invoice!A1"/><Relationship Id="rId4" Type="http://schemas.openxmlformats.org/officeDocument/2006/relationships/hyperlink" Target="#Expenditure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Rooms!A1"/><Relationship Id="rId2" Type="http://schemas.openxmlformats.org/officeDocument/2006/relationships/hyperlink" Target="#Bookings!A1"/><Relationship Id="rId1" Type="http://schemas.openxmlformats.org/officeDocument/2006/relationships/hyperlink" Target="#Customers!A1"/><Relationship Id="rId6" Type="http://schemas.openxmlformats.org/officeDocument/2006/relationships/image" Target="../media/image1.png"/><Relationship Id="rId5" Type="http://schemas.openxmlformats.org/officeDocument/2006/relationships/hyperlink" Target="#Invoice!A1"/><Relationship Id="rId4" Type="http://schemas.openxmlformats.org/officeDocument/2006/relationships/hyperlink" Target="#Expenditure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Rooms!A1"/><Relationship Id="rId2" Type="http://schemas.openxmlformats.org/officeDocument/2006/relationships/hyperlink" Target="#Bookings!A1"/><Relationship Id="rId1" Type="http://schemas.openxmlformats.org/officeDocument/2006/relationships/hyperlink" Target="#Customers!A1"/><Relationship Id="rId6" Type="http://schemas.openxmlformats.org/officeDocument/2006/relationships/image" Target="../media/image1.png"/><Relationship Id="rId5" Type="http://schemas.openxmlformats.org/officeDocument/2006/relationships/hyperlink" Target="#Invoice!A1"/><Relationship Id="rId4" Type="http://schemas.openxmlformats.org/officeDocument/2006/relationships/hyperlink" Target="#Expenditure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Rooms!A1"/><Relationship Id="rId7" Type="http://schemas.openxmlformats.org/officeDocument/2006/relationships/image" Target="../media/image2.png"/><Relationship Id="rId2" Type="http://schemas.openxmlformats.org/officeDocument/2006/relationships/hyperlink" Target="#Bookings!A1"/><Relationship Id="rId1" Type="http://schemas.openxmlformats.org/officeDocument/2006/relationships/hyperlink" Target="#Customers!A1"/><Relationship Id="rId6" Type="http://schemas.openxmlformats.org/officeDocument/2006/relationships/image" Target="../media/image1.png"/><Relationship Id="rId5" Type="http://schemas.openxmlformats.org/officeDocument/2006/relationships/hyperlink" Target="#Invoice!A1"/><Relationship Id="rId4" Type="http://schemas.openxmlformats.org/officeDocument/2006/relationships/hyperlink" Target="#Expenditure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Rooms!A1"/><Relationship Id="rId2" Type="http://schemas.openxmlformats.org/officeDocument/2006/relationships/hyperlink" Target="#Bookings!A1"/><Relationship Id="rId1" Type="http://schemas.openxmlformats.org/officeDocument/2006/relationships/hyperlink" Target="#Customers!A1"/><Relationship Id="rId5" Type="http://schemas.openxmlformats.org/officeDocument/2006/relationships/hyperlink" Target="#Invoice!A1"/><Relationship Id="rId4" Type="http://schemas.openxmlformats.org/officeDocument/2006/relationships/hyperlink" Target="#Expenditur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247650</xdr:colOff>
      <xdr:row>1</xdr:row>
      <xdr:rowOff>95251</xdr:rowOff>
    </xdr:from>
    <xdr:to>
      <xdr:col>5</xdr:col>
      <xdr:colOff>277650</xdr:colOff>
      <xdr:row>1</xdr:row>
      <xdr:rowOff>368851</xdr:rowOff>
    </xdr:to>
    <xdr:sp macro="" textlink="">
      <xdr:nvSpPr>
        <xdr:cNvPr id="6" name="Rectangle 5">
          <a:hlinkClick xmlns:r="http://schemas.openxmlformats.org/officeDocument/2006/relationships" r:id="rId1"/>
        </xdr:cNvPr>
        <xdr:cNvSpPr/>
      </xdr:nvSpPr>
      <xdr:spPr>
        <a:xfrm>
          <a:off x="2076450" y="1752601"/>
          <a:ext cx="1249200" cy="2736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chemeClr val="tx1"/>
              </a:solidFill>
              <a:latin typeface="Palatino Linotype" panose="02040502050505030304" pitchFamily="18" charset="0"/>
            </a:rPr>
            <a:t>Customers</a:t>
          </a:r>
        </a:p>
      </xdr:txBody>
    </xdr:sp>
    <xdr:clientData/>
  </xdr:twoCellAnchor>
  <xdr:twoCellAnchor>
    <xdr:from>
      <xdr:col>2</xdr:col>
      <xdr:colOff>381000</xdr:colOff>
      <xdr:row>0</xdr:row>
      <xdr:rowOff>390525</xdr:rowOff>
    </xdr:from>
    <xdr:to>
      <xdr:col>14</xdr:col>
      <xdr:colOff>257175</xdr:colOff>
      <xdr:row>0</xdr:row>
      <xdr:rowOff>1381125</xdr:rowOff>
    </xdr:to>
    <xdr:grpSp>
      <xdr:nvGrpSpPr>
        <xdr:cNvPr id="3" name="Group 2"/>
        <xdr:cNvGrpSpPr/>
      </xdr:nvGrpSpPr>
      <xdr:grpSpPr>
        <a:xfrm>
          <a:off x="1600200" y="390525"/>
          <a:ext cx="7191375" cy="990600"/>
          <a:chOff x="1628775" y="419100"/>
          <a:chExt cx="7191375" cy="990600"/>
        </a:xfrm>
      </xdr:grpSpPr>
      <xdr:sp macro="" textlink="">
        <xdr:nvSpPr>
          <xdr:cNvPr id="2" name="TextBox 1"/>
          <xdr:cNvSpPr txBox="1"/>
        </xdr:nvSpPr>
        <xdr:spPr>
          <a:xfrm>
            <a:off x="1628775" y="676275"/>
            <a:ext cx="7191375" cy="7334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4000">
                <a:solidFill>
                  <a:srgbClr val="D3D3D3"/>
                </a:solidFill>
                <a:latin typeface="Plantagenet Cherokee" panose="02020602070100000000" pitchFamily="18" charset="0"/>
                <a:cs typeface="Aharoni" pitchFamily="2" charset="-79"/>
              </a:rPr>
              <a:t>Andrew's</a:t>
            </a:r>
            <a:r>
              <a:rPr lang="en-GB" sz="4000" baseline="0">
                <a:solidFill>
                  <a:srgbClr val="D3D3D3"/>
                </a:solidFill>
                <a:latin typeface="Plantagenet Cherokee" panose="02020602070100000000" pitchFamily="18" charset="0"/>
                <a:cs typeface="Aharoni" pitchFamily="2" charset="-79"/>
              </a:rPr>
              <a:t> Bed and Breakfast</a:t>
            </a:r>
            <a:endParaRPr lang="en-GB" sz="4000">
              <a:solidFill>
                <a:srgbClr val="D3D3D3"/>
              </a:solidFill>
              <a:latin typeface="Plantagenet Cherokee" panose="02020602070100000000" pitchFamily="18" charset="0"/>
              <a:cs typeface="Aharoni" pitchFamily="2" charset="-79"/>
            </a:endParaRPr>
          </a:p>
        </xdr:txBody>
      </xdr:sp>
      <xdr:sp macro="" textlink="">
        <xdr:nvSpPr>
          <xdr:cNvPr id="8" name="TextBox 7"/>
          <xdr:cNvSpPr txBox="1"/>
        </xdr:nvSpPr>
        <xdr:spPr>
          <a:xfrm>
            <a:off x="2066925" y="419100"/>
            <a:ext cx="3314700" cy="371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1800">
                <a:solidFill>
                  <a:srgbClr val="E0E0E0"/>
                </a:solidFill>
                <a:latin typeface="Plantagenet Cherokee" panose="02020602070100000000" pitchFamily="18" charset="0"/>
                <a:cs typeface="Aharoni" pitchFamily="2" charset="-79"/>
              </a:rPr>
              <a:t>A Halster Holidays</a:t>
            </a:r>
            <a:r>
              <a:rPr lang="en-GB" sz="1800" baseline="0">
                <a:solidFill>
                  <a:srgbClr val="E0E0E0"/>
                </a:solidFill>
                <a:latin typeface="Plantagenet Cherokee" panose="02020602070100000000" pitchFamily="18" charset="0"/>
                <a:cs typeface="Aharoni" pitchFamily="2" charset="-79"/>
              </a:rPr>
              <a:t> business...</a:t>
            </a:r>
            <a:endParaRPr lang="en-GB" sz="1800">
              <a:solidFill>
                <a:srgbClr val="E0E0E0"/>
              </a:solidFill>
              <a:latin typeface="Plantagenet Cherokee" panose="02020602070100000000" pitchFamily="18" charset="0"/>
              <a:cs typeface="Aharoni" pitchFamily="2" charset="-79"/>
            </a:endParaRPr>
          </a:p>
        </xdr:txBody>
      </xdr:sp>
    </xdr:grpSp>
    <xdr:clientData/>
  </xdr:twoCellAnchor>
  <xdr:twoCellAnchor>
    <xdr:from>
      <xdr:col>5</xdr:col>
      <xdr:colOff>400050</xdr:colOff>
      <xdr:row>1</xdr:row>
      <xdr:rowOff>95251</xdr:rowOff>
    </xdr:from>
    <xdr:to>
      <xdr:col>7</xdr:col>
      <xdr:colOff>430050</xdr:colOff>
      <xdr:row>1</xdr:row>
      <xdr:rowOff>368851</xdr:rowOff>
    </xdr:to>
    <xdr:sp macro="" textlink="">
      <xdr:nvSpPr>
        <xdr:cNvPr id="10" name="Rectangle 9">
          <a:hlinkClick xmlns:r="http://schemas.openxmlformats.org/officeDocument/2006/relationships" r:id="rId2"/>
        </xdr:cNvPr>
        <xdr:cNvSpPr/>
      </xdr:nvSpPr>
      <xdr:spPr>
        <a:xfrm>
          <a:off x="3448050" y="1752601"/>
          <a:ext cx="1249200" cy="2736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chemeClr val="tx1"/>
              </a:solidFill>
              <a:latin typeface="Palatino Linotype" panose="02040502050505030304" pitchFamily="18" charset="0"/>
            </a:rPr>
            <a:t>Bookings</a:t>
          </a:r>
        </a:p>
        <a:p>
          <a:pPr algn="ctr"/>
          <a:endParaRPr lang="en-GB" sz="1100">
            <a:solidFill>
              <a:schemeClr val="tx1"/>
            </a:solidFill>
            <a:latin typeface="Palatino Linotype" panose="02040502050505030304" pitchFamily="18" charset="0"/>
          </a:endParaRPr>
        </a:p>
      </xdr:txBody>
    </xdr:sp>
    <xdr:clientData/>
  </xdr:twoCellAnchor>
  <xdr:twoCellAnchor>
    <xdr:from>
      <xdr:col>7</xdr:col>
      <xdr:colOff>552450</xdr:colOff>
      <xdr:row>1</xdr:row>
      <xdr:rowOff>95251</xdr:rowOff>
    </xdr:from>
    <xdr:to>
      <xdr:col>9</xdr:col>
      <xdr:colOff>582450</xdr:colOff>
      <xdr:row>1</xdr:row>
      <xdr:rowOff>368851</xdr:rowOff>
    </xdr:to>
    <xdr:sp macro="" textlink="">
      <xdr:nvSpPr>
        <xdr:cNvPr id="11" name="Rectangle 10">
          <a:hlinkClick xmlns:r="http://schemas.openxmlformats.org/officeDocument/2006/relationships" r:id="rId3"/>
        </xdr:cNvPr>
        <xdr:cNvSpPr/>
      </xdr:nvSpPr>
      <xdr:spPr>
        <a:xfrm>
          <a:off x="4819650" y="1752601"/>
          <a:ext cx="1249200" cy="273600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chemeClr val="tx1"/>
              </a:solidFill>
              <a:latin typeface="Palatino Linotype" panose="02040502050505030304" pitchFamily="18" charset="0"/>
            </a:rPr>
            <a:t>Rooms</a:t>
          </a:r>
        </a:p>
      </xdr:txBody>
    </xdr:sp>
    <xdr:clientData/>
  </xdr:twoCellAnchor>
  <xdr:twoCellAnchor>
    <xdr:from>
      <xdr:col>10</xdr:col>
      <xdr:colOff>95250</xdr:colOff>
      <xdr:row>1</xdr:row>
      <xdr:rowOff>95250</xdr:rowOff>
    </xdr:from>
    <xdr:to>
      <xdr:col>12</xdr:col>
      <xdr:colOff>125250</xdr:colOff>
      <xdr:row>1</xdr:row>
      <xdr:rowOff>368850</xdr:rowOff>
    </xdr:to>
    <xdr:sp macro="" textlink="">
      <xdr:nvSpPr>
        <xdr:cNvPr id="15" name="Rectangle 14">
          <a:hlinkClick xmlns:r="http://schemas.openxmlformats.org/officeDocument/2006/relationships" r:id="rId4"/>
        </xdr:cNvPr>
        <xdr:cNvSpPr/>
      </xdr:nvSpPr>
      <xdr:spPr>
        <a:xfrm>
          <a:off x="6191250" y="1752600"/>
          <a:ext cx="1249200" cy="273600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chemeClr val="tx1"/>
              </a:solidFill>
              <a:latin typeface="Palatino Linotype" panose="02040502050505030304" pitchFamily="18" charset="0"/>
            </a:rPr>
            <a:t>Expenditure</a:t>
          </a:r>
        </a:p>
      </xdr:txBody>
    </xdr:sp>
    <xdr:clientData/>
  </xdr:twoCellAnchor>
  <xdr:twoCellAnchor>
    <xdr:from>
      <xdr:col>12</xdr:col>
      <xdr:colOff>247650</xdr:colOff>
      <xdr:row>1</xdr:row>
      <xdr:rowOff>95250</xdr:rowOff>
    </xdr:from>
    <xdr:to>
      <xdr:col>14</xdr:col>
      <xdr:colOff>277650</xdr:colOff>
      <xdr:row>1</xdr:row>
      <xdr:rowOff>368850</xdr:rowOff>
    </xdr:to>
    <xdr:sp macro="" textlink="">
      <xdr:nvSpPr>
        <xdr:cNvPr id="17" name="Rectangle 16">
          <a:hlinkClick xmlns:r="http://schemas.openxmlformats.org/officeDocument/2006/relationships" r:id="rId5"/>
        </xdr:cNvPr>
        <xdr:cNvSpPr/>
      </xdr:nvSpPr>
      <xdr:spPr>
        <a:xfrm>
          <a:off x="7562850" y="1752600"/>
          <a:ext cx="1249200" cy="2736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chemeClr val="tx1"/>
              </a:solidFill>
              <a:latin typeface="Palatino Linotype" panose="02040502050505030304" pitchFamily="18" charset="0"/>
            </a:rPr>
            <a:t>Invoice</a:t>
          </a:r>
        </a:p>
      </xdr:txBody>
    </xdr:sp>
    <xdr:clientData/>
  </xdr:twoCellAnchor>
  <xdr:twoCellAnchor>
    <xdr:from>
      <xdr:col>0</xdr:col>
      <xdr:colOff>190500</xdr:colOff>
      <xdr:row>1</xdr:row>
      <xdr:rowOff>95250</xdr:rowOff>
    </xdr:from>
    <xdr:to>
      <xdr:col>3</xdr:col>
      <xdr:colOff>38099</xdr:colOff>
      <xdr:row>1</xdr:row>
      <xdr:rowOff>368850</xdr:rowOff>
    </xdr:to>
    <xdr:sp macro="[0]!quickPreviewButton_Click" textlink="">
      <xdr:nvSpPr>
        <xdr:cNvPr id="12" name="quickPreviewButton"/>
        <xdr:cNvSpPr/>
      </xdr:nvSpPr>
      <xdr:spPr>
        <a:xfrm>
          <a:off x="190500" y="1752600"/>
          <a:ext cx="1676399" cy="273600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 b="1">
              <a:solidFill>
                <a:schemeClr val="tx1"/>
              </a:solidFill>
              <a:latin typeface="Palatino Linotype" panose="02040502050505030304" pitchFamily="18" charset="0"/>
            </a:rPr>
            <a:t>Quick</a:t>
          </a:r>
          <a:r>
            <a:rPr lang="en-GB" sz="1100" b="1" baseline="0">
              <a:solidFill>
                <a:schemeClr val="tx1"/>
              </a:solidFill>
              <a:latin typeface="Palatino Linotype" panose="02040502050505030304" pitchFamily="18" charset="0"/>
            </a:rPr>
            <a:t> Preview</a:t>
          </a:r>
          <a:endParaRPr lang="en-GB" sz="1100" b="1">
            <a:solidFill>
              <a:schemeClr val="tx1"/>
            </a:solidFill>
            <a:latin typeface="Palatino Linotype" panose="02040502050505030304" pitchFamily="18" charset="0"/>
          </a:endParaRPr>
        </a:p>
      </xdr:txBody>
    </xdr:sp>
    <xdr:clientData/>
  </xdr:twoCellAnchor>
  <xdr:twoCellAnchor editAs="oneCell">
    <xdr:from>
      <xdr:col>0</xdr:col>
      <xdr:colOff>371475</xdr:colOff>
      <xdr:row>0</xdr:row>
      <xdr:rowOff>161925</xdr:rowOff>
    </xdr:from>
    <xdr:to>
      <xdr:col>2</xdr:col>
      <xdr:colOff>464268</xdr:colOff>
      <xdr:row>0</xdr:row>
      <xdr:rowOff>1458361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161925"/>
          <a:ext cx="1311993" cy="1296436"/>
        </a:xfrm>
        <a:prstGeom prst="rect">
          <a:avLst/>
        </a:prstGeom>
      </xdr:spPr>
    </xdr:pic>
    <xdr:clientData/>
  </xdr:twoCellAnchor>
  <xdr:twoCellAnchor editAs="oneCell">
    <xdr:from>
      <xdr:col>13</xdr:col>
      <xdr:colOff>9523</xdr:colOff>
      <xdr:row>9</xdr:row>
      <xdr:rowOff>276224</xdr:rowOff>
    </xdr:from>
    <xdr:to>
      <xdr:col>15</xdr:col>
      <xdr:colOff>102316</xdr:colOff>
      <xdr:row>14</xdr:row>
      <xdr:rowOff>134385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9850610">
          <a:off x="7934323" y="4162424"/>
          <a:ext cx="1311993" cy="1296436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561975</xdr:colOff>
      <xdr:row>0</xdr:row>
      <xdr:rowOff>390525</xdr:rowOff>
    </xdr:from>
    <xdr:to>
      <xdr:col>7</xdr:col>
      <xdr:colOff>762000</xdr:colOff>
      <xdr:row>0</xdr:row>
      <xdr:rowOff>1381125</xdr:rowOff>
    </xdr:to>
    <xdr:grpSp>
      <xdr:nvGrpSpPr>
        <xdr:cNvPr id="7" name="Group 6"/>
        <xdr:cNvGrpSpPr/>
      </xdr:nvGrpSpPr>
      <xdr:grpSpPr>
        <a:xfrm>
          <a:off x="1600200" y="390525"/>
          <a:ext cx="7629525" cy="990600"/>
          <a:chOff x="1628775" y="419100"/>
          <a:chExt cx="7191375" cy="990600"/>
        </a:xfrm>
      </xdr:grpSpPr>
      <xdr:sp macro="" textlink="">
        <xdr:nvSpPr>
          <xdr:cNvPr id="8" name="TextBox 7"/>
          <xdr:cNvSpPr txBox="1"/>
        </xdr:nvSpPr>
        <xdr:spPr>
          <a:xfrm>
            <a:off x="1628775" y="676275"/>
            <a:ext cx="7191375" cy="7334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4000">
                <a:solidFill>
                  <a:srgbClr val="D3D3D3"/>
                </a:solidFill>
                <a:latin typeface="Plantagenet Cherokee" panose="02020602070100000000" pitchFamily="18" charset="0"/>
                <a:cs typeface="Aharoni" pitchFamily="2" charset="-79"/>
              </a:rPr>
              <a:t>Andrew's</a:t>
            </a:r>
            <a:r>
              <a:rPr lang="en-GB" sz="4000" baseline="0">
                <a:solidFill>
                  <a:srgbClr val="D3D3D3"/>
                </a:solidFill>
                <a:latin typeface="Plantagenet Cherokee" panose="02020602070100000000" pitchFamily="18" charset="0"/>
                <a:cs typeface="Aharoni" pitchFamily="2" charset="-79"/>
              </a:rPr>
              <a:t> Bed and Breakfast</a:t>
            </a:r>
            <a:endParaRPr lang="en-GB" sz="4000">
              <a:solidFill>
                <a:srgbClr val="D3D3D3"/>
              </a:solidFill>
              <a:latin typeface="Plantagenet Cherokee" panose="02020602070100000000" pitchFamily="18" charset="0"/>
              <a:cs typeface="Aharoni" pitchFamily="2" charset="-79"/>
            </a:endParaRPr>
          </a:p>
        </xdr:txBody>
      </xdr:sp>
      <xdr:sp macro="" textlink="">
        <xdr:nvSpPr>
          <xdr:cNvPr id="10" name="TextBox 9"/>
          <xdr:cNvSpPr txBox="1"/>
        </xdr:nvSpPr>
        <xdr:spPr>
          <a:xfrm>
            <a:off x="2066925" y="419100"/>
            <a:ext cx="3314700" cy="371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1800">
                <a:solidFill>
                  <a:srgbClr val="E0E0E0"/>
                </a:solidFill>
                <a:latin typeface="Plantagenet Cherokee" panose="02020602070100000000" pitchFamily="18" charset="0"/>
                <a:cs typeface="Aharoni" pitchFamily="2" charset="-79"/>
              </a:rPr>
              <a:t>A Halster Holidays</a:t>
            </a:r>
            <a:r>
              <a:rPr lang="en-GB" sz="1800" baseline="0">
                <a:solidFill>
                  <a:srgbClr val="E0E0E0"/>
                </a:solidFill>
                <a:latin typeface="Plantagenet Cherokee" panose="02020602070100000000" pitchFamily="18" charset="0"/>
                <a:cs typeface="Aharoni" pitchFamily="2" charset="-79"/>
              </a:rPr>
              <a:t> business...</a:t>
            </a:r>
            <a:endParaRPr lang="en-GB" sz="1800">
              <a:solidFill>
                <a:srgbClr val="E0E0E0"/>
              </a:solidFill>
              <a:latin typeface="Plantagenet Cherokee" panose="02020602070100000000" pitchFamily="18" charset="0"/>
              <a:cs typeface="Aharoni" pitchFamily="2" charset="-79"/>
            </a:endParaRPr>
          </a:p>
        </xdr:txBody>
      </xdr:sp>
    </xdr:grpSp>
    <xdr:clientData/>
  </xdr:twoCellAnchor>
  <xdr:twoCellAnchor>
    <xdr:from>
      <xdr:col>2</xdr:col>
      <xdr:colOff>95250</xdr:colOff>
      <xdr:row>1</xdr:row>
      <xdr:rowOff>95251</xdr:rowOff>
    </xdr:from>
    <xdr:to>
      <xdr:col>3</xdr:col>
      <xdr:colOff>172875</xdr:colOff>
      <xdr:row>1</xdr:row>
      <xdr:rowOff>368851</xdr:rowOff>
    </xdr:to>
    <xdr:sp macro="" textlink="">
      <xdr:nvSpPr>
        <xdr:cNvPr id="12" name="Rectangle 11">
          <a:hlinkClick xmlns:r="http://schemas.openxmlformats.org/officeDocument/2006/relationships" r:id="rId1"/>
        </xdr:cNvPr>
        <xdr:cNvSpPr/>
      </xdr:nvSpPr>
      <xdr:spPr>
        <a:xfrm>
          <a:off x="2076450" y="1752601"/>
          <a:ext cx="1249200" cy="2736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chemeClr val="tx1"/>
              </a:solidFill>
              <a:latin typeface="Palatino Linotype" panose="02040502050505030304" pitchFamily="18" charset="0"/>
            </a:rPr>
            <a:t>Customers</a:t>
          </a:r>
        </a:p>
      </xdr:txBody>
    </xdr:sp>
    <xdr:clientData/>
  </xdr:twoCellAnchor>
  <xdr:twoCellAnchor>
    <xdr:from>
      <xdr:col>3</xdr:col>
      <xdr:colOff>295275</xdr:colOff>
      <xdr:row>1</xdr:row>
      <xdr:rowOff>95251</xdr:rowOff>
    </xdr:from>
    <xdr:to>
      <xdr:col>4</xdr:col>
      <xdr:colOff>582450</xdr:colOff>
      <xdr:row>1</xdr:row>
      <xdr:rowOff>368851</xdr:rowOff>
    </xdr:to>
    <xdr:sp macro="" textlink="">
      <xdr:nvSpPr>
        <xdr:cNvPr id="13" name="Rectangle 12">
          <a:hlinkClick xmlns:r="http://schemas.openxmlformats.org/officeDocument/2006/relationships" r:id="rId2"/>
        </xdr:cNvPr>
        <xdr:cNvSpPr/>
      </xdr:nvSpPr>
      <xdr:spPr>
        <a:xfrm>
          <a:off x="3448050" y="1752601"/>
          <a:ext cx="1249200" cy="2736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chemeClr val="tx1"/>
              </a:solidFill>
              <a:latin typeface="Palatino Linotype" panose="02040502050505030304" pitchFamily="18" charset="0"/>
            </a:rPr>
            <a:t>Bookings</a:t>
          </a:r>
        </a:p>
        <a:p>
          <a:pPr algn="ctr"/>
          <a:endParaRPr lang="en-GB" sz="1100">
            <a:solidFill>
              <a:schemeClr val="tx1"/>
            </a:solidFill>
            <a:latin typeface="Palatino Linotype" panose="02040502050505030304" pitchFamily="18" charset="0"/>
          </a:endParaRPr>
        </a:p>
      </xdr:txBody>
    </xdr:sp>
    <xdr:clientData/>
  </xdr:twoCellAnchor>
  <xdr:twoCellAnchor>
    <xdr:from>
      <xdr:col>4</xdr:col>
      <xdr:colOff>704850</xdr:colOff>
      <xdr:row>1</xdr:row>
      <xdr:rowOff>95251</xdr:rowOff>
    </xdr:from>
    <xdr:to>
      <xdr:col>5</xdr:col>
      <xdr:colOff>401475</xdr:colOff>
      <xdr:row>1</xdr:row>
      <xdr:rowOff>368851</xdr:rowOff>
    </xdr:to>
    <xdr:sp macro="" textlink="">
      <xdr:nvSpPr>
        <xdr:cNvPr id="14" name="Rectangle 13">
          <a:hlinkClick xmlns:r="http://schemas.openxmlformats.org/officeDocument/2006/relationships" r:id="rId3"/>
        </xdr:cNvPr>
        <xdr:cNvSpPr/>
      </xdr:nvSpPr>
      <xdr:spPr>
        <a:xfrm>
          <a:off x="4819650" y="1752601"/>
          <a:ext cx="1249200" cy="273600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chemeClr val="tx1"/>
              </a:solidFill>
              <a:latin typeface="Palatino Linotype" panose="02040502050505030304" pitchFamily="18" charset="0"/>
            </a:rPr>
            <a:t>Rooms</a:t>
          </a:r>
        </a:p>
      </xdr:txBody>
    </xdr:sp>
    <xdr:clientData/>
  </xdr:twoCellAnchor>
  <xdr:twoCellAnchor>
    <xdr:from>
      <xdr:col>5</xdr:col>
      <xdr:colOff>523875</xdr:colOff>
      <xdr:row>1</xdr:row>
      <xdr:rowOff>95250</xdr:rowOff>
    </xdr:from>
    <xdr:to>
      <xdr:col>6</xdr:col>
      <xdr:colOff>668175</xdr:colOff>
      <xdr:row>1</xdr:row>
      <xdr:rowOff>368850</xdr:rowOff>
    </xdr:to>
    <xdr:sp macro="" textlink="">
      <xdr:nvSpPr>
        <xdr:cNvPr id="15" name="Rectangle 14">
          <a:hlinkClick xmlns:r="http://schemas.openxmlformats.org/officeDocument/2006/relationships" r:id="rId4"/>
        </xdr:cNvPr>
        <xdr:cNvSpPr/>
      </xdr:nvSpPr>
      <xdr:spPr>
        <a:xfrm>
          <a:off x="6191250" y="1752600"/>
          <a:ext cx="1249200" cy="273600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chemeClr val="tx1"/>
              </a:solidFill>
              <a:latin typeface="Palatino Linotype" panose="02040502050505030304" pitchFamily="18" charset="0"/>
            </a:rPr>
            <a:t>Expenditure</a:t>
          </a:r>
        </a:p>
      </xdr:txBody>
    </xdr:sp>
    <xdr:clientData/>
  </xdr:twoCellAnchor>
  <xdr:twoCellAnchor>
    <xdr:from>
      <xdr:col>6</xdr:col>
      <xdr:colOff>790575</xdr:colOff>
      <xdr:row>1</xdr:row>
      <xdr:rowOff>95250</xdr:rowOff>
    </xdr:from>
    <xdr:to>
      <xdr:col>7</xdr:col>
      <xdr:colOff>782475</xdr:colOff>
      <xdr:row>1</xdr:row>
      <xdr:rowOff>368850</xdr:rowOff>
    </xdr:to>
    <xdr:sp macro="" textlink="">
      <xdr:nvSpPr>
        <xdr:cNvPr id="16" name="Rectangle 15">
          <a:hlinkClick xmlns:r="http://schemas.openxmlformats.org/officeDocument/2006/relationships" r:id="rId5"/>
        </xdr:cNvPr>
        <xdr:cNvSpPr/>
      </xdr:nvSpPr>
      <xdr:spPr>
        <a:xfrm>
          <a:off x="7562850" y="1752600"/>
          <a:ext cx="1249200" cy="2736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chemeClr val="tx1"/>
              </a:solidFill>
              <a:latin typeface="Palatino Linotype" panose="02040502050505030304" pitchFamily="18" charset="0"/>
            </a:rPr>
            <a:t>Invoice</a:t>
          </a:r>
        </a:p>
      </xdr:txBody>
    </xdr:sp>
    <xdr:clientData/>
  </xdr:twoCellAnchor>
  <xdr:twoCellAnchor>
    <xdr:from>
      <xdr:col>0</xdr:col>
      <xdr:colOff>190500</xdr:colOff>
      <xdr:row>1</xdr:row>
      <xdr:rowOff>95251</xdr:rowOff>
    </xdr:from>
    <xdr:to>
      <xdr:col>1</xdr:col>
      <xdr:colOff>828674</xdr:colOff>
      <xdr:row>1</xdr:row>
      <xdr:rowOff>368851</xdr:rowOff>
    </xdr:to>
    <xdr:sp macro="[0]!quickPreviewButton_Click" textlink="">
      <xdr:nvSpPr>
        <xdr:cNvPr id="17" name="quickPreviewButton"/>
        <xdr:cNvSpPr/>
      </xdr:nvSpPr>
      <xdr:spPr>
        <a:xfrm>
          <a:off x="190500" y="1752601"/>
          <a:ext cx="1676399" cy="273600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 b="1">
              <a:solidFill>
                <a:schemeClr val="tx1"/>
              </a:solidFill>
              <a:latin typeface="Palatino Linotype" panose="02040502050505030304" pitchFamily="18" charset="0"/>
            </a:rPr>
            <a:t>Quick</a:t>
          </a:r>
          <a:r>
            <a:rPr lang="en-GB" sz="1100" b="1" baseline="0">
              <a:solidFill>
                <a:schemeClr val="tx1"/>
              </a:solidFill>
              <a:latin typeface="Palatino Linotype" panose="02040502050505030304" pitchFamily="18" charset="0"/>
            </a:rPr>
            <a:t> Preview</a:t>
          </a:r>
          <a:endParaRPr lang="en-GB" sz="1100" b="1">
            <a:solidFill>
              <a:schemeClr val="tx1"/>
            </a:solidFill>
            <a:latin typeface="Palatino Linotype" panose="02040502050505030304" pitchFamily="18" charset="0"/>
          </a:endParaRPr>
        </a:p>
      </xdr:txBody>
    </xdr:sp>
    <xdr:clientData/>
  </xdr:twoCellAnchor>
  <xdr:twoCellAnchor editAs="oneCell">
    <xdr:from>
      <xdr:col>0</xdr:col>
      <xdr:colOff>371474</xdr:colOff>
      <xdr:row>0</xdr:row>
      <xdr:rowOff>161926</xdr:rowOff>
    </xdr:from>
    <xdr:to>
      <xdr:col>1</xdr:col>
      <xdr:colOff>645242</xdr:colOff>
      <xdr:row>0</xdr:row>
      <xdr:rowOff>1458362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4" y="161926"/>
          <a:ext cx="1311993" cy="1296436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15</xdr:row>
      <xdr:rowOff>114300</xdr:rowOff>
    </xdr:from>
    <xdr:to>
      <xdr:col>1</xdr:col>
      <xdr:colOff>639600</xdr:colOff>
      <xdr:row>17</xdr:row>
      <xdr:rowOff>6900</xdr:rowOff>
    </xdr:to>
    <xdr:sp macro="" textlink="">
      <xdr:nvSpPr>
        <xdr:cNvPr id="18" name="Rectangle 17"/>
        <xdr:cNvSpPr/>
      </xdr:nvSpPr>
      <xdr:spPr>
        <a:xfrm>
          <a:off x="0" y="4924425"/>
          <a:ext cx="1677825" cy="273600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chemeClr val="tx1"/>
              </a:solidFill>
              <a:latin typeface="Palatino Linotype" panose="02040502050505030304" pitchFamily="18" charset="0"/>
            </a:rPr>
            <a:t>Sort</a:t>
          </a:r>
          <a:r>
            <a:rPr lang="en-GB" sz="1100" baseline="0">
              <a:solidFill>
                <a:schemeClr val="tx1"/>
              </a:solidFill>
              <a:latin typeface="Palatino Linotype" panose="02040502050505030304" pitchFamily="18" charset="0"/>
            </a:rPr>
            <a:t> by name</a:t>
          </a:r>
          <a:endParaRPr lang="en-GB" sz="1100">
            <a:solidFill>
              <a:schemeClr val="tx1"/>
            </a:solidFill>
            <a:latin typeface="Palatino Linotype" panose="02040502050505030304" pitchFamily="18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723900</xdr:colOff>
      <xdr:row>0</xdr:row>
      <xdr:rowOff>390525</xdr:rowOff>
    </xdr:from>
    <xdr:to>
      <xdr:col>8</xdr:col>
      <xdr:colOff>1000125</xdr:colOff>
      <xdr:row>0</xdr:row>
      <xdr:rowOff>1381125</xdr:rowOff>
    </xdr:to>
    <xdr:grpSp>
      <xdr:nvGrpSpPr>
        <xdr:cNvPr id="5" name="Group 4"/>
        <xdr:cNvGrpSpPr/>
      </xdr:nvGrpSpPr>
      <xdr:grpSpPr>
        <a:xfrm>
          <a:off x="1600200" y="390525"/>
          <a:ext cx="8601075" cy="990600"/>
          <a:chOff x="1381891" y="419100"/>
          <a:chExt cx="7191375" cy="990600"/>
        </a:xfrm>
      </xdr:grpSpPr>
      <xdr:sp macro="" textlink="">
        <xdr:nvSpPr>
          <xdr:cNvPr id="6" name="TextBox 5"/>
          <xdr:cNvSpPr txBox="1"/>
        </xdr:nvSpPr>
        <xdr:spPr>
          <a:xfrm>
            <a:off x="1381891" y="676275"/>
            <a:ext cx="7191375" cy="7334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4000">
                <a:solidFill>
                  <a:srgbClr val="D3D3D3"/>
                </a:solidFill>
                <a:latin typeface="Plantagenet Cherokee" panose="02020602070100000000" pitchFamily="18" charset="0"/>
                <a:cs typeface="Aharoni" pitchFamily="2" charset="-79"/>
              </a:rPr>
              <a:t>Andrew's</a:t>
            </a:r>
            <a:r>
              <a:rPr lang="en-GB" sz="4000" baseline="0">
                <a:solidFill>
                  <a:srgbClr val="D3D3D3"/>
                </a:solidFill>
                <a:latin typeface="Plantagenet Cherokee" panose="02020602070100000000" pitchFamily="18" charset="0"/>
                <a:cs typeface="Aharoni" pitchFamily="2" charset="-79"/>
              </a:rPr>
              <a:t> Bed and Breakfast</a:t>
            </a:r>
            <a:endParaRPr lang="en-GB" sz="4000">
              <a:solidFill>
                <a:srgbClr val="D3D3D3"/>
              </a:solidFill>
              <a:latin typeface="Plantagenet Cherokee" panose="02020602070100000000" pitchFamily="18" charset="0"/>
              <a:cs typeface="Aharoni" pitchFamily="2" charset="-79"/>
            </a:endParaRPr>
          </a:p>
        </xdr:txBody>
      </xdr:sp>
      <xdr:sp macro="" textlink="">
        <xdr:nvSpPr>
          <xdr:cNvPr id="7" name="TextBox 6"/>
          <xdr:cNvSpPr txBox="1"/>
        </xdr:nvSpPr>
        <xdr:spPr>
          <a:xfrm>
            <a:off x="2066925" y="419100"/>
            <a:ext cx="3314700" cy="371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1800">
                <a:solidFill>
                  <a:srgbClr val="E0E0E0"/>
                </a:solidFill>
                <a:latin typeface="Plantagenet Cherokee" panose="02020602070100000000" pitchFamily="18" charset="0"/>
                <a:cs typeface="Aharoni" pitchFamily="2" charset="-79"/>
              </a:rPr>
              <a:t>A Halster Holidays</a:t>
            </a:r>
            <a:r>
              <a:rPr lang="en-GB" sz="1800" baseline="0">
                <a:solidFill>
                  <a:srgbClr val="E0E0E0"/>
                </a:solidFill>
                <a:latin typeface="Plantagenet Cherokee" panose="02020602070100000000" pitchFamily="18" charset="0"/>
                <a:cs typeface="Aharoni" pitchFamily="2" charset="-79"/>
              </a:rPr>
              <a:t> business...</a:t>
            </a:r>
            <a:endParaRPr lang="en-GB" sz="1800">
              <a:solidFill>
                <a:srgbClr val="E0E0E0"/>
              </a:solidFill>
              <a:latin typeface="Plantagenet Cherokee" panose="02020602070100000000" pitchFamily="18" charset="0"/>
              <a:cs typeface="Aharoni" pitchFamily="2" charset="-79"/>
            </a:endParaRPr>
          </a:p>
        </xdr:txBody>
      </xdr:sp>
    </xdr:grpSp>
    <xdr:clientData/>
  </xdr:twoCellAnchor>
  <xdr:twoCellAnchor>
    <xdr:from>
      <xdr:col>2</xdr:col>
      <xdr:colOff>485775</xdr:colOff>
      <xdr:row>1</xdr:row>
      <xdr:rowOff>95251</xdr:rowOff>
    </xdr:from>
    <xdr:to>
      <xdr:col>4</xdr:col>
      <xdr:colOff>115725</xdr:colOff>
      <xdr:row>1</xdr:row>
      <xdr:rowOff>368851</xdr:rowOff>
    </xdr:to>
    <xdr:sp macro="" textlink="">
      <xdr:nvSpPr>
        <xdr:cNvPr id="13" name="Rectangle 12">
          <a:hlinkClick xmlns:r="http://schemas.openxmlformats.org/officeDocument/2006/relationships" r:id="rId1"/>
        </xdr:cNvPr>
        <xdr:cNvSpPr/>
      </xdr:nvSpPr>
      <xdr:spPr>
        <a:xfrm>
          <a:off x="2076450" y="1752601"/>
          <a:ext cx="1249200" cy="2736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chemeClr val="tx1"/>
              </a:solidFill>
              <a:latin typeface="Palatino Linotype" panose="02040502050505030304" pitchFamily="18" charset="0"/>
            </a:rPr>
            <a:t>Customers</a:t>
          </a:r>
        </a:p>
      </xdr:txBody>
    </xdr:sp>
    <xdr:clientData/>
  </xdr:twoCellAnchor>
  <xdr:twoCellAnchor>
    <xdr:from>
      <xdr:col>4</xdr:col>
      <xdr:colOff>238125</xdr:colOff>
      <xdr:row>1</xdr:row>
      <xdr:rowOff>95251</xdr:rowOff>
    </xdr:from>
    <xdr:to>
      <xdr:col>5</xdr:col>
      <xdr:colOff>553875</xdr:colOff>
      <xdr:row>1</xdr:row>
      <xdr:rowOff>368851</xdr:rowOff>
    </xdr:to>
    <xdr:sp macro="" textlink="">
      <xdr:nvSpPr>
        <xdr:cNvPr id="14" name="Rectangle 13">
          <a:hlinkClick xmlns:r="http://schemas.openxmlformats.org/officeDocument/2006/relationships" r:id="rId2"/>
        </xdr:cNvPr>
        <xdr:cNvSpPr/>
      </xdr:nvSpPr>
      <xdr:spPr>
        <a:xfrm>
          <a:off x="3448050" y="1752601"/>
          <a:ext cx="1249200" cy="2736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chemeClr val="tx1"/>
              </a:solidFill>
              <a:latin typeface="Palatino Linotype" panose="02040502050505030304" pitchFamily="18" charset="0"/>
            </a:rPr>
            <a:t>Bookings</a:t>
          </a:r>
        </a:p>
        <a:p>
          <a:pPr algn="ctr"/>
          <a:endParaRPr lang="en-GB" sz="1100">
            <a:solidFill>
              <a:schemeClr val="tx1"/>
            </a:solidFill>
            <a:latin typeface="Palatino Linotype" panose="02040502050505030304" pitchFamily="18" charset="0"/>
          </a:endParaRPr>
        </a:p>
      </xdr:txBody>
    </xdr:sp>
    <xdr:clientData/>
  </xdr:twoCellAnchor>
  <xdr:twoCellAnchor>
    <xdr:from>
      <xdr:col>5</xdr:col>
      <xdr:colOff>676275</xdr:colOff>
      <xdr:row>1</xdr:row>
      <xdr:rowOff>95251</xdr:rowOff>
    </xdr:from>
    <xdr:to>
      <xdr:col>6</xdr:col>
      <xdr:colOff>553875</xdr:colOff>
      <xdr:row>1</xdr:row>
      <xdr:rowOff>368851</xdr:rowOff>
    </xdr:to>
    <xdr:sp macro="" textlink="">
      <xdr:nvSpPr>
        <xdr:cNvPr id="15" name="Rectangle 14">
          <a:hlinkClick xmlns:r="http://schemas.openxmlformats.org/officeDocument/2006/relationships" r:id="rId3"/>
        </xdr:cNvPr>
        <xdr:cNvSpPr/>
      </xdr:nvSpPr>
      <xdr:spPr>
        <a:xfrm>
          <a:off x="4819650" y="1752601"/>
          <a:ext cx="1249200" cy="273600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chemeClr val="tx1"/>
              </a:solidFill>
              <a:latin typeface="Palatino Linotype" panose="02040502050505030304" pitchFamily="18" charset="0"/>
            </a:rPr>
            <a:t>Rooms</a:t>
          </a:r>
        </a:p>
      </xdr:txBody>
    </xdr:sp>
    <xdr:clientData/>
  </xdr:twoCellAnchor>
  <xdr:twoCellAnchor>
    <xdr:from>
      <xdr:col>6</xdr:col>
      <xdr:colOff>676275</xdr:colOff>
      <xdr:row>1</xdr:row>
      <xdr:rowOff>95250</xdr:rowOff>
    </xdr:from>
    <xdr:to>
      <xdr:col>7</xdr:col>
      <xdr:colOff>820575</xdr:colOff>
      <xdr:row>1</xdr:row>
      <xdr:rowOff>368850</xdr:rowOff>
    </xdr:to>
    <xdr:sp macro="" textlink="">
      <xdr:nvSpPr>
        <xdr:cNvPr id="16" name="Rectangle 15">
          <a:hlinkClick xmlns:r="http://schemas.openxmlformats.org/officeDocument/2006/relationships" r:id="rId4"/>
        </xdr:cNvPr>
        <xdr:cNvSpPr/>
      </xdr:nvSpPr>
      <xdr:spPr>
        <a:xfrm>
          <a:off x="6191250" y="1752600"/>
          <a:ext cx="1249200" cy="273600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chemeClr val="tx1"/>
              </a:solidFill>
              <a:latin typeface="Palatino Linotype" panose="02040502050505030304" pitchFamily="18" charset="0"/>
            </a:rPr>
            <a:t>Expenditure</a:t>
          </a:r>
        </a:p>
      </xdr:txBody>
    </xdr:sp>
    <xdr:clientData/>
  </xdr:twoCellAnchor>
  <xdr:twoCellAnchor>
    <xdr:from>
      <xdr:col>7</xdr:col>
      <xdr:colOff>942975</xdr:colOff>
      <xdr:row>1</xdr:row>
      <xdr:rowOff>95250</xdr:rowOff>
    </xdr:from>
    <xdr:to>
      <xdr:col>9</xdr:col>
      <xdr:colOff>58575</xdr:colOff>
      <xdr:row>1</xdr:row>
      <xdr:rowOff>368850</xdr:rowOff>
    </xdr:to>
    <xdr:sp macro="" textlink="">
      <xdr:nvSpPr>
        <xdr:cNvPr id="17" name="Rectangle 16">
          <a:hlinkClick xmlns:r="http://schemas.openxmlformats.org/officeDocument/2006/relationships" r:id="rId5"/>
        </xdr:cNvPr>
        <xdr:cNvSpPr/>
      </xdr:nvSpPr>
      <xdr:spPr>
        <a:xfrm>
          <a:off x="7562850" y="1752600"/>
          <a:ext cx="1249200" cy="2736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chemeClr val="tx1"/>
              </a:solidFill>
              <a:latin typeface="Palatino Linotype" panose="02040502050505030304" pitchFamily="18" charset="0"/>
            </a:rPr>
            <a:t>Invoice</a:t>
          </a:r>
        </a:p>
      </xdr:txBody>
    </xdr:sp>
    <xdr:clientData/>
  </xdr:twoCellAnchor>
  <xdr:twoCellAnchor>
    <xdr:from>
      <xdr:col>0</xdr:col>
      <xdr:colOff>190500</xdr:colOff>
      <xdr:row>1</xdr:row>
      <xdr:rowOff>95250</xdr:rowOff>
    </xdr:from>
    <xdr:to>
      <xdr:col>2</xdr:col>
      <xdr:colOff>276224</xdr:colOff>
      <xdr:row>1</xdr:row>
      <xdr:rowOff>368850</xdr:rowOff>
    </xdr:to>
    <xdr:sp macro="[0]!quickPreviewButton_Click" textlink="">
      <xdr:nvSpPr>
        <xdr:cNvPr id="18" name="quickPreviewButton"/>
        <xdr:cNvSpPr/>
      </xdr:nvSpPr>
      <xdr:spPr>
        <a:xfrm>
          <a:off x="190500" y="1752600"/>
          <a:ext cx="1676399" cy="273600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 b="1">
              <a:solidFill>
                <a:schemeClr val="tx1"/>
              </a:solidFill>
              <a:latin typeface="Palatino Linotype" panose="02040502050505030304" pitchFamily="18" charset="0"/>
            </a:rPr>
            <a:t>Quick</a:t>
          </a:r>
          <a:r>
            <a:rPr lang="en-GB" sz="1100" b="1" baseline="0">
              <a:solidFill>
                <a:schemeClr val="tx1"/>
              </a:solidFill>
              <a:latin typeface="Palatino Linotype" panose="02040502050505030304" pitchFamily="18" charset="0"/>
            </a:rPr>
            <a:t> Preview</a:t>
          </a:r>
          <a:endParaRPr lang="en-GB" sz="1100" b="1">
            <a:solidFill>
              <a:schemeClr val="tx1"/>
            </a:solidFill>
            <a:latin typeface="Palatino Linotype" panose="02040502050505030304" pitchFamily="18" charset="0"/>
          </a:endParaRPr>
        </a:p>
      </xdr:txBody>
    </xdr:sp>
    <xdr:clientData/>
  </xdr:twoCellAnchor>
  <xdr:twoCellAnchor editAs="oneCell">
    <xdr:from>
      <xdr:col>0</xdr:col>
      <xdr:colOff>371475</xdr:colOff>
      <xdr:row>0</xdr:row>
      <xdr:rowOff>161925</xdr:rowOff>
    </xdr:from>
    <xdr:to>
      <xdr:col>1</xdr:col>
      <xdr:colOff>807168</xdr:colOff>
      <xdr:row>0</xdr:row>
      <xdr:rowOff>1458361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161925"/>
          <a:ext cx="1311993" cy="1296436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16</xdr:row>
      <xdr:rowOff>57150</xdr:rowOff>
    </xdr:from>
    <xdr:to>
      <xdr:col>1</xdr:col>
      <xdr:colOff>801525</xdr:colOff>
      <xdr:row>17</xdr:row>
      <xdr:rowOff>140250</xdr:rowOff>
    </xdr:to>
    <xdr:sp macro="[0]!sortbooking" textlink="">
      <xdr:nvSpPr>
        <xdr:cNvPr id="12" name="Rectangle 11"/>
        <xdr:cNvSpPr/>
      </xdr:nvSpPr>
      <xdr:spPr>
        <a:xfrm>
          <a:off x="0" y="5219700"/>
          <a:ext cx="1677825" cy="273600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chemeClr val="tx1"/>
              </a:solidFill>
              <a:latin typeface="Palatino Linotype" panose="02040502050505030304" pitchFamily="18" charset="0"/>
            </a:rPr>
            <a:t>Sort</a:t>
          </a:r>
          <a:r>
            <a:rPr lang="en-GB" sz="1100" baseline="0">
              <a:solidFill>
                <a:schemeClr val="tx1"/>
              </a:solidFill>
              <a:latin typeface="Palatino Linotype" panose="02040502050505030304" pitchFamily="18" charset="0"/>
            </a:rPr>
            <a:t> by Customer ID</a:t>
          </a:r>
          <a:endParaRPr lang="en-GB" sz="1100">
            <a:solidFill>
              <a:schemeClr val="tx1"/>
            </a:solidFill>
            <a:latin typeface="Palatino Linotype" panose="02040502050505030304" pitchFamily="18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390525</xdr:rowOff>
    </xdr:from>
    <xdr:to>
      <xdr:col>12</xdr:col>
      <xdr:colOff>95250</xdr:colOff>
      <xdr:row>0</xdr:row>
      <xdr:rowOff>1381125</xdr:rowOff>
    </xdr:to>
    <xdr:grpSp>
      <xdr:nvGrpSpPr>
        <xdr:cNvPr id="5" name="Group 4"/>
        <xdr:cNvGrpSpPr/>
      </xdr:nvGrpSpPr>
      <xdr:grpSpPr>
        <a:xfrm>
          <a:off x="1895475" y="390525"/>
          <a:ext cx="9553575" cy="990600"/>
          <a:chOff x="1628775" y="419100"/>
          <a:chExt cx="7191375" cy="990600"/>
        </a:xfrm>
      </xdr:grpSpPr>
      <xdr:sp macro="" textlink="">
        <xdr:nvSpPr>
          <xdr:cNvPr id="6" name="TextBox 5"/>
          <xdr:cNvSpPr txBox="1"/>
        </xdr:nvSpPr>
        <xdr:spPr>
          <a:xfrm>
            <a:off x="1628775" y="676275"/>
            <a:ext cx="7191375" cy="7334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4000">
                <a:solidFill>
                  <a:srgbClr val="D3D3D3"/>
                </a:solidFill>
                <a:latin typeface="Plantagenet Cherokee" panose="02020602070100000000" pitchFamily="18" charset="0"/>
                <a:cs typeface="Aharoni" pitchFamily="2" charset="-79"/>
              </a:rPr>
              <a:t>Andrew's</a:t>
            </a:r>
            <a:r>
              <a:rPr lang="en-GB" sz="4000" baseline="0">
                <a:solidFill>
                  <a:srgbClr val="D3D3D3"/>
                </a:solidFill>
                <a:latin typeface="Plantagenet Cherokee" panose="02020602070100000000" pitchFamily="18" charset="0"/>
                <a:cs typeface="Aharoni" pitchFamily="2" charset="-79"/>
              </a:rPr>
              <a:t> Bed and Breakfast</a:t>
            </a:r>
            <a:endParaRPr lang="en-GB" sz="4000">
              <a:solidFill>
                <a:srgbClr val="D3D3D3"/>
              </a:solidFill>
              <a:latin typeface="Plantagenet Cherokee" panose="02020602070100000000" pitchFamily="18" charset="0"/>
              <a:cs typeface="Aharoni" pitchFamily="2" charset="-79"/>
            </a:endParaRPr>
          </a:p>
        </xdr:txBody>
      </xdr:sp>
      <xdr:sp macro="" textlink="">
        <xdr:nvSpPr>
          <xdr:cNvPr id="7" name="TextBox 6"/>
          <xdr:cNvSpPr txBox="1"/>
        </xdr:nvSpPr>
        <xdr:spPr>
          <a:xfrm>
            <a:off x="2066925" y="419100"/>
            <a:ext cx="3314700" cy="371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1800">
                <a:solidFill>
                  <a:srgbClr val="E0E0E0"/>
                </a:solidFill>
                <a:latin typeface="Plantagenet Cherokee" panose="02020602070100000000" pitchFamily="18" charset="0"/>
                <a:cs typeface="Aharoni" pitchFamily="2" charset="-79"/>
              </a:rPr>
              <a:t>A Halster Holidays</a:t>
            </a:r>
            <a:r>
              <a:rPr lang="en-GB" sz="1800" baseline="0">
                <a:solidFill>
                  <a:srgbClr val="E0E0E0"/>
                </a:solidFill>
                <a:latin typeface="Plantagenet Cherokee" panose="02020602070100000000" pitchFamily="18" charset="0"/>
                <a:cs typeface="Aharoni" pitchFamily="2" charset="-79"/>
              </a:rPr>
              <a:t> business...</a:t>
            </a:r>
            <a:endParaRPr lang="en-GB" sz="1800">
              <a:solidFill>
                <a:srgbClr val="E0E0E0"/>
              </a:solidFill>
              <a:latin typeface="Plantagenet Cherokee" panose="02020602070100000000" pitchFamily="18" charset="0"/>
              <a:cs typeface="Aharoni" pitchFamily="2" charset="-79"/>
            </a:endParaRPr>
          </a:p>
        </xdr:txBody>
      </xdr:sp>
    </xdr:grpSp>
    <xdr:clientData/>
  </xdr:twoCellAnchor>
  <xdr:twoCellAnchor>
    <xdr:from>
      <xdr:col>2</xdr:col>
      <xdr:colOff>657225</xdr:colOff>
      <xdr:row>1</xdr:row>
      <xdr:rowOff>95251</xdr:rowOff>
    </xdr:from>
    <xdr:to>
      <xdr:col>3</xdr:col>
      <xdr:colOff>1144425</xdr:colOff>
      <xdr:row>1</xdr:row>
      <xdr:rowOff>368851</xdr:rowOff>
    </xdr:to>
    <xdr:sp macro="" textlink="">
      <xdr:nvSpPr>
        <xdr:cNvPr id="8" name="Rectangle 7">
          <a:hlinkClick xmlns:r="http://schemas.openxmlformats.org/officeDocument/2006/relationships" r:id="rId1"/>
        </xdr:cNvPr>
        <xdr:cNvSpPr/>
      </xdr:nvSpPr>
      <xdr:spPr>
        <a:xfrm>
          <a:off x="2076450" y="1752601"/>
          <a:ext cx="1249200" cy="2736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chemeClr val="tx1"/>
              </a:solidFill>
              <a:latin typeface="Palatino Linotype" panose="02040502050505030304" pitchFamily="18" charset="0"/>
            </a:rPr>
            <a:t>Customers</a:t>
          </a:r>
        </a:p>
      </xdr:txBody>
    </xdr:sp>
    <xdr:clientData/>
  </xdr:twoCellAnchor>
  <xdr:twoCellAnchor>
    <xdr:from>
      <xdr:col>3</xdr:col>
      <xdr:colOff>1304925</xdr:colOff>
      <xdr:row>1</xdr:row>
      <xdr:rowOff>95251</xdr:rowOff>
    </xdr:from>
    <xdr:to>
      <xdr:col>5</xdr:col>
      <xdr:colOff>477675</xdr:colOff>
      <xdr:row>1</xdr:row>
      <xdr:rowOff>368851</xdr:rowOff>
    </xdr:to>
    <xdr:sp macro="" textlink="">
      <xdr:nvSpPr>
        <xdr:cNvPr id="11" name="Rectangle 10">
          <a:hlinkClick xmlns:r="http://schemas.openxmlformats.org/officeDocument/2006/relationships" r:id="rId2"/>
        </xdr:cNvPr>
        <xdr:cNvSpPr/>
      </xdr:nvSpPr>
      <xdr:spPr>
        <a:xfrm>
          <a:off x="3981450" y="1752601"/>
          <a:ext cx="1982625" cy="2736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chemeClr val="tx1"/>
              </a:solidFill>
              <a:latin typeface="Palatino Linotype" panose="02040502050505030304" pitchFamily="18" charset="0"/>
            </a:rPr>
            <a:t>Bookings</a:t>
          </a:r>
        </a:p>
        <a:p>
          <a:pPr algn="ctr"/>
          <a:endParaRPr lang="en-GB" sz="1100">
            <a:solidFill>
              <a:schemeClr val="tx1"/>
            </a:solidFill>
            <a:latin typeface="Palatino Linotype" panose="02040502050505030304" pitchFamily="18" charset="0"/>
          </a:endParaRPr>
        </a:p>
      </xdr:txBody>
    </xdr:sp>
    <xdr:clientData/>
  </xdr:twoCellAnchor>
  <xdr:twoCellAnchor>
    <xdr:from>
      <xdr:col>5</xdr:col>
      <xdr:colOff>819150</xdr:colOff>
      <xdr:row>1</xdr:row>
      <xdr:rowOff>95251</xdr:rowOff>
    </xdr:from>
    <xdr:to>
      <xdr:col>7</xdr:col>
      <xdr:colOff>420525</xdr:colOff>
      <xdr:row>1</xdr:row>
      <xdr:rowOff>368851</xdr:rowOff>
    </xdr:to>
    <xdr:sp macro="" textlink="">
      <xdr:nvSpPr>
        <xdr:cNvPr id="12" name="Rectangle 11">
          <a:hlinkClick xmlns:r="http://schemas.openxmlformats.org/officeDocument/2006/relationships" r:id="rId3"/>
        </xdr:cNvPr>
        <xdr:cNvSpPr/>
      </xdr:nvSpPr>
      <xdr:spPr>
        <a:xfrm>
          <a:off x="4819650" y="1752601"/>
          <a:ext cx="1249200" cy="273600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chemeClr val="tx1"/>
              </a:solidFill>
              <a:latin typeface="Palatino Linotype" panose="02040502050505030304" pitchFamily="18" charset="0"/>
            </a:rPr>
            <a:t>Rooms</a:t>
          </a:r>
        </a:p>
      </xdr:txBody>
    </xdr:sp>
    <xdr:clientData/>
  </xdr:twoCellAnchor>
  <xdr:twoCellAnchor>
    <xdr:from>
      <xdr:col>7</xdr:col>
      <xdr:colOff>542925</xdr:colOff>
      <xdr:row>1</xdr:row>
      <xdr:rowOff>95250</xdr:rowOff>
    </xdr:from>
    <xdr:to>
      <xdr:col>9</xdr:col>
      <xdr:colOff>572925</xdr:colOff>
      <xdr:row>1</xdr:row>
      <xdr:rowOff>368850</xdr:rowOff>
    </xdr:to>
    <xdr:sp macro="" textlink="">
      <xdr:nvSpPr>
        <xdr:cNvPr id="13" name="Rectangle 12">
          <a:hlinkClick xmlns:r="http://schemas.openxmlformats.org/officeDocument/2006/relationships" r:id="rId4"/>
        </xdr:cNvPr>
        <xdr:cNvSpPr/>
      </xdr:nvSpPr>
      <xdr:spPr>
        <a:xfrm>
          <a:off x="6191250" y="1752600"/>
          <a:ext cx="1249200" cy="273600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chemeClr val="tx1"/>
              </a:solidFill>
              <a:latin typeface="Palatino Linotype" panose="02040502050505030304" pitchFamily="18" charset="0"/>
            </a:rPr>
            <a:t>Expenditure</a:t>
          </a:r>
        </a:p>
      </xdr:txBody>
    </xdr:sp>
    <xdr:clientData/>
  </xdr:twoCellAnchor>
  <xdr:twoCellAnchor>
    <xdr:from>
      <xdr:col>10</xdr:col>
      <xdr:colOff>85725</xdr:colOff>
      <xdr:row>1</xdr:row>
      <xdr:rowOff>95250</xdr:rowOff>
    </xdr:from>
    <xdr:to>
      <xdr:col>12</xdr:col>
      <xdr:colOff>115725</xdr:colOff>
      <xdr:row>1</xdr:row>
      <xdr:rowOff>368850</xdr:rowOff>
    </xdr:to>
    <xdr:sp macro="" textlink="">
      <xdr:nvSpPr>
        <xdr:cNvPr id="14" name="Rectangle 13">
          <a:hlinkClick xmlns:r="http://schemas.openxmlformats.org/officeDocument/2006/relationships" r:id="rId5"/>
        </xdr:cNvPr>
        <xdr:cNvSpPr/>
      </xdr:nvSpPr>
      <xdr:spPr>
        <a:xfrm>
          <a:off x="7562850" y="1752600"/>
          <a:ext cx="1249200" cy="2736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chemeClr val="tx1"/>
              </a:solidFill>
              <a:latin typeface="Palatino Linotype" panose="02040502050505030304" pitchFamily="18" charset="0"/>
            </a:rPr>
            <a:t>Invoice</a:t>
          </a:r>
        </a:p>
      </xdr:txBody>
    </xdr:sp>
    <xdr:clientData/>
  </xdr:twoCellAnchor>
  <xdr:twoCellAnchor>
    <xdr:from>
      <xdr:col>0</xdr:col>
      <xdr:colOff>190500</xdr:colOff>
      <xdr:row>1</xdr:row>
      <xdr:rowOff>95250</xdr:rowOff>
    </xdr:from>
    <xdr:to>
      <xdr:col>2</xdr:col>
      <xdr:colOff>447674</xdr:colOff>
      <xdr:row>1</xdr:row>
      <xdr:rowOff>368850</xdr:rowOff>
    </xdr:to>
    <xdr:sp macro="[0]!quickPreviewButton_Click" textlink="">
      <xdr:nvSpPr>
        <xdr:cNvPr id="15" name="quickPreviewButton"/>
        <xdr:cNvSpPr/>
      </xdr:nvSpPr>
      <xdr:spPr>
        <a:xfrm>
          <a:off x="190500" y="1752600"/>
          <a:ext cx="1676399" cy="273600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 b="1">
              <a:solidFill>
                <a:schemeClr val="tx1"/>
              </a:solidFill>
              <a:latin typeface="Palatino Linotype" panose="02040502050505030304" pitchFamily="18" charset="0"/>
            </a:rPr>
            <a:t>Quick</a:t>
          </a:r>
          <a:r>
            <a:rPr lang="en-GB" sz="1100" b="1" baseline="0">
              <a:solidFill>
                <a:schemeClr val="tx1"/>
              </a:solidFill>
              <a:latin typeface="Palatino Linotype" panose="02040502050505030304" pitchFamily="18" charset="0"/>
            </a:rPr>
            <a:t> Preview</a:t>
          </a:r>
          <a:endParaRPr lang="en-GB" sz="1100" b="1">
            <a:solidFill>
              <a:schemeClr val="tx1"/>
            </a:solidFill>
            <a:latin typeface="Palatino Linotype" panose="02040502050505030304" pitchFamily="18" charset="0"/>
          </a:endParaRPr>
        </a:p>
      </xdr:txBody>
    </xdr:sp>
    <xdr:clientData/>
  </xdr:twoCellAnchor>
  <xdr:twoCellAnchor editAs="oneCell">
    <xdr:from>
      <xdr:col>0</xdr:col>
      <xdr:colOff>371475</xdr:colOff>
      <xdr:row>0</xdr:row>
      <xdr:rowOff>161925</xdr:rowOff>
    </xdr:from>
    <xdr:to>
      <xdr:col>1</xdr:col>
      <xdr:colOff>921468</xdr:colOff>
      <xdr:row>0</xdr:row>
      <xdr:rowOff>1458361</xdr:rowOff>
    </xdr:to>
    <xdr:pic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161925"/>
          <a:ext cx="1311993" cy="129643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1600200</xdr:colOff>
      <xdr:row>0</xdr:row>
      <xdr:rowOff>390525</xdr:rowOff>
    </xdr:from>
    <xdr:to>
      <xdr:col>5</xdr:col>
      <xdr:colOff>790575</xdr:colOff>
      <xdr:row>0</xdr:row>
      <xdr:rowOff>1381125</xdr:rowOff>
    </xdr:to>
    <xdr:grpSp>
      <xdr:nvGrpSpPr>
        <xdr:cNvPr id="5" name="Group 4"/>
        <xdr:cNvGrpSpPr/>
      </xdr:nvGrpSpPr>
      <xdr:grpSpPr>
        <a:xfrm>
          <a:off x="1600200" y="390525"/>
          <a:ext cx="7324725" cy="990600"/>
          <a:chOff x="1628775" y="419100"/>
          <a:chExt cx="7191375" cy="990600"/>
        </a:xfrm>
      </xdr:grpSpPr>
      <xdr:sp macro="" textlink="">
        <xdr:nvSpPr>
          <xdr:cNvPr id="6" name="TextBox 5"/>
          <xdr:cNvSpPr txBox="1"/>
        </xdr:nvSpPr>
        <xdr:spPr>
          <a:xfrm>
            <a:off x="1628775" y="676275"/>
            <a:ext cx="7191375" cy="7334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4000">
                <a:solidFill>
                  <a:srgbClr val="D3D3D3"/>
                </a:solidFill>
                <a:latin typeface="Plantagenet Cherokee" panose="02020602070100000000" pitchFamily="18" charset="0"/>
                <a:cs typeface="Aharoni" pitchFamily="2" charset="-79"/>
              </a:rPr>
              <a:t>Andrew's</a:t>
            </a:r>
            <a:r>
              <a:rPr lang="en-GB" sz="4000" baseline="0">
                <a:solidFill>
                  <a:srgbClr val="D3D3D3"/>
                </a:solidFill>
                <a:latin typeface="Plantagenet Cherokee" panose="02020602070100000000" pitchFamily="18" charset="0"/>
                <a:cs typeface="Aharoni" pitchFamily="2" charset="-79"/>
              </a:rPr>
              <a:t> Bed and Breakfast</a:t>
            </a:r>
            <a:endParaRPr lang="en-GB" sz="4000">
              <a:solidFill>
                <a:srgbClr val="D3D3D3"/>
              </a:solidFill>
              <a:latin typeface="Plantagenet Cherokee" panose="02020602070100000000" pitchFamily="18" charset="0"/>
              <a:cs typeface="Aharoni" pitchFamily="2" charset="-79"/>
            </a:endParaRPr>
          </a:p>
        </xdr:txBody>
      </xdr:sp>
      <xdr:sp macro="" textlink="">
        <xdr:nvSpPr>
          <xdr:cNvPr id="7" name="TextBox 6"/>
          <xdr:cNvSpPr txBox="1"/>
        </xdr:nvSpPr>
        <xdr:spPr>
          <a:xfrm>
            <a:off x="2066925" y="419100"/>
            <a:ext cx="3314700" cy="371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1800">
                <a:solidFill>
                  <a:srgbClr val="E0E0E0"/>
                </a:solidFill>
                <a:latin typeface="Plantagenet Cherokee" panose="02020602070100000000" pitchFamily="18" charset="0"/>
                <a:cs typeface="Aharoni" pitchFamily="2" charset="-79"/>
              </a:rPr>
              <a:t>A Halster Holidays</a:t>
            </a:r>
            <a:r>
              <a:rPr lang="en-GB" sz="1800" baseline="0">
                <a:solidFill>
                  <a:srgbClr val="E0E0E0"/>
                </a:solidFill>
                <a:latin typeface="Plantagenet Cherokee" panose="02020602070100000000" pitchFamily="18" charset="0"/>
                <a:cs typeface="Aharoni" pitchFamily="2" charset="-79"/>
              </a:rPr>
              <a:t> business...</a:t>
            </a:r>
            <a:endParaRPr lang="en-GB" sz="1800">
              <a:solidFill>
                <a:srgbClr val="E0E0E0"/>
              </a:solidFill>
              <a:latin typeface="Plantagenet Cherokee" panose="02020602070100000000" pitchFamily="18" charset="0"/>
              <a:cs typeface="Aharoni" pitchFamily="2" charset="-79"/>
            </a:endParaRPr>
          </a:p>
        </xdr:txBody>
      </xdr:sp>
    </xdr:grpSp>
    <xdr:clientData/>
  </xdr:twoCellAnchor>
  <xdr:twoCellAnchor>
    <xdr:from>
      <xdr:col>1</xdr:col>
      <xdr:colOff>200025</xdr:colOff>
      <xdr:row>1</xdr:row>
      <xdr:rowOff>95251</xdr:rowOff>
    </xdr:from>
    <xdr:to>
      <xdr:col>2</xdr:col>
      <xdr:colOff>401475</xdr:colOff>
      <xdr:row>1</xdr:row>
      <xdr:rowOff>368851</xdr:rowOff>
    </xdr:to>
    <xdr:sp macro="" textlink="">
      <xdr:nvSpPr>
        <xdr:cNvPr id="8" name="Rectangle 7">
          <a:hlinkClick xmlns:r="http://schemas.openxmlformats.org/officeDocument/2006/relationships" r:id="rId1"/>
        </xdr:cNvPr>
        <xdr:cNvSpPr/>
      </xdr:nvSpPr>
      <xdr:spPr>
        <a:xfrm>
          <a:off x="2076450" y="1752601"/>
          <a:ext cx="1249200" cy="2736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chemeClr val="tx1"/>
              </a:solidFill>
              <a:latin typeface="Palatino Linotype" panose="02040502050505030304" pitchFamily="18" charset="0"/>
            </a:rPr>
            <a:t>Customers</a:t>
          </a:r>
        </a:p>
      </xdr:txBody>
    </xdr:sp>
    <xdr:clientData/>
  </xdr:twoCellAnchor>
  <xdr:twoCellAnchor>
    <xdr:from>
      <xdr:col>2</xdr:col>
      <xdr:colOff>523875</xdr:colOff>
      <xdr:row>1</xdr:row>
      <xdr:rowOff>95251</xdr:rowOff>
    </xdr:from>
    <xdr:to>
      <xdr:col>3</xdr:col>
      <xdr:colOff>210975</xdr:colOff>
      <xdr:row>1</xdr:row>
      <xdr:rowOff>368851</xdr:rowOff>
    </xdr:to>
    <xdr:sp macro="" textlink="">
      <xdr:nvSpPr>
        <xdr:cNvPr id="9" name="Rectangle 8">
          <a:hlinkClick xmlns:r="http://schemas.openxmlformats.org/officeDocument/2006/relationships" r:id="rId2"/>
        </xdr:cNvPr>
        <xdr:cNvSpPr/>
      </xdr:nvSpPr>
      <xdr:spPr>
        <a:xfrm>
          <a:off x="3448050" y="1752601"/>
          <a:ext cx="1249200" cy="2736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chemeClr val="tx1"/>
              </a:solidFill>
              <a:latin typeface="Palatino Linotype" panose="02040502050505030304" pitchFamily="18" charset="0"/>
            </a:rPr>
            <a:t>Bookings</a:t>
          </a:r>
        </a:p>
        <a:p>
          <a:pPr algn="ctr"/>
          <a:endParaRPr lang="en-GB" sz="1100">
            <a:solidFill>
              <a:schemeClr val="tx1"/>
            </a:solidFill>
            <a:latin typeface="Palatino Linotype" panose="02040502050505030304" pitchFamily="18" charset="0"/>
          </a:endParaRPr>
        </a:p>
      </xdr:txBody>
    </xdr:sp>
    <xdr:clientData/>
  </xdr:twoCellAnchor>
  <xdr:twoCellAnchor>
    <xdr:from>
      <xdr:col>3</xdr:col>
      <xdr:colOff>333375</xdr:colOff>
      <xdr:row>1</xdr:row>
      <xdr:rowOff>95251</xdr:rowOff>
    </xdr:from>
    <xdr:to>
      <xdr:col>3</xdr:col>
      <xdr:colOff>1582575</xdr:colOff>
      <xdr:row>1</xdr:row>
      <xdr:rowOff>368851</xdr:rowOff>
    </xdr:to>
    <xdr:sp macro="" textlink="">
      <xdr:nvSpPr>
        <xdr:cNvPr id="12" name="Rectangle 11">
          <a:hlinkClick xmlns:r="http://schemas.openxmlformats.org/officeDocument/2006/relationships" r:id="rId3"/>
        </xdr:cNvPr>
        <xdr:cNvSpPr/>
      </xdr:nvSpPr>
      <xdr:spPr>
        <a:xfrm>
          <a:off x="4819650" y="1752601"/>
          <a:ext cx="1249200" cy="273600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chemeClr val="tx1"/>
              </a:solidFill>
              <a:latin typeface="Palatino Linotype" panose="02040502050505030304" pitchFamily="18" charset="0"/>
            </a:rPr>
            <a:t>Rooms</a:t>
          </a:r>
        </a:p>
      </xdr:txBody>
    </xdr:sp>
    <xdr:clientData/>
  </xdr:twoCellAnchor>
  <xdr:twoCellAnchor>
    <xdr:from>
      <xdr:col>3</xdr:col>
      <xdr:colOff>1704975</xdr:colOff>
      <xdr:row>1</xdr:row>
      <xdr:rowOff>95250</xdr:rowOff>
    </xdr:from>
    <xdr:to>
      <xdr:col>4</xdr:col>
      <xdr:colOff>1144425</xdr:colOff>
      <xdr:row>1</xdr:row>
      <xdr:rowOff>368850</xdr:rowOff>
    </xdr:to>
    <xdr:sp macro="" textlink="">
      <xdr:nvSpPr>
        <xdr:cNvPr id="13" name="Rectangle 12">
          <a:hlinkClick xmlns:r="http://schemas.openxmlformats.org/officeDocument/2006/relationships" r:id="rId4"/>
        </xdr:cNvPr>
        <xdr:cNvSpPr/>
      </xdr:nvSpPr>
      <xdr:spPr>
        <a:xfrm>
          <a:off x="6172200" y="1752600"/>
          <a:ext cx="1249200" cy="273600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chemeClr val="tx1"/>
              </a:solidFill>
              <a:latin typeface="Palatino Linotype" panose="02040502050505030304" pitchFamily="18" charset="0"/>
            </a:rPr>
            <a:t>Expenditure</a:t>
          </a:r>
        </a:p>
      </xdr:txBody>
    </xdr:sp>
    <xdr:clientData/>
  </xdr:twoCellAnchor>
  <xdr:twoCellAnchor>
    <xdr:from>
      <xdr:col>4</xdr:col>
      <xdr:colOff>1266825</xdr:colOff>
      <xdr:row>1</xdr:row>
      <xdr:rowOff>95250</xdr:rowOff>
    </xdr:from>
    <xdr:to>
      <xdr:col>5</xdr:col>
      <xdr:colOff>658650</xdr:colOff>
      <xdr:row>1</xdr:row>
      <xdr:rowOff>368850</xdr:rowOff>
    </xdr:to>
    <xdr:sp macro="" textlink="">
      <xdr:nvSpPr>
        <xdr:cNvPr id="14" name="Rectangle 13">
          <a:hlinkClick xmlns:r="http://schemas.openxmlformats.org/officeDocument/2006/relationships" r:id="rId5"/>
        </xdr:cNvPr>
        <xdr:cNvSpPr/>
      </xdr:nvSpPr>
      <xdr:spPr>
        <a:xfrm>
          <a:off x="7543800" y="1752600"/>
          <a:ext cx="1249200" cy="2736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chemeClr val="tx1"/>
              </a:solidFill>
              <a:latin typeface="Palatino Linotype" panose="02040502050505030304" pitchFamily="18" charset="0"/>
            </a:rPr>
            <a:t>Invoice</a:t>
          </a:r>
        </a:p>
      </xdr:txBody>
    </xdr:sp>
    <xdr:clientData/>
  </xdr:twoCellAnchor>
  <xdr:twoCellAnchor>
    <xdr:from>
      <xdr:col>0</xdr:col>
      <xdr:colOff>190500</xdr:colOff>
      <xdr:row>1</xdr:row>
      <xdr:rowOff>95250</xdr:rowOff>
    </xdr:from>
    <xdr:to>
      <xdr:col>0</xdr:col>
      <xdr:colOff>1866899</xdr:colOff>
      <xdr:row>1</xdr:row>
      <xdr:rowOff>368850</xdr:rowOff>
    </xdr:to>
    <xdr:sp macro="[0]!quickPreviewButton_Click" textlink="">
      <xdr:nvSpPr>
        <xdr:cNvPr id="15" name="quickPreviewButton"/>
        <xdr:cNvSpPr/>
      </xdr:nvSpPr>
      <xdr:spPr>
        <a:xfrm>
          <a:off x="190500" y="1752600"/>
          <a:ext cx="1676399" cy="273600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 b="1">
              <a:solidFill>
                <a:schemeClr val="tx1"/>
              </a:solidFill>
              <a:latin typeface="Palatino Linotype" panose="02040502050505030304" pitchFamily="18" charset="0"/>
            </a:rPr>
            <a:t>Quick</a:t>
          </a:r>
          <a:r>
            <a:rPr lang="en-GB" sz="1100" b="1" baseline="0">
              <a:solidFill>
                <a:schemeClr val="tx1"/>
              </a:solidFill>
              <a:latin typeface="Palatino Linotype" panose="02040502050505030304" pitchFamily="18" charset="0"/>
            </a:rPr>
            <a:t> Preview</a:t>
          </a:r>
          <a:endParaRPr lang="en-GB" sz="1100" b="1">
            <a:solidFill>
              <a:schemeClr val="tx1"/>
            </a:solidFill>
            <a:latin typeface="Palatino Linotype" panose="02040502050505030304" pitchFamily="18" charset="0"/>
          </a:endParaRPr>
        </a:p>
      </xdr:txBody>
    </xdr:sp>
    <xdr:clientData/>
  </xdr:twoCellAnchor>
  <xdr:twoCellAnchor editAs="oneCell">
    <xdr:from>
      <xdr:col>0</xdr:col>
      <xdr:colOff>371475</xdr:colOff>
      <xdr:row>0</xdr:row>
      <xdr:rowOff>161925</xdr:rowOff>
    </xdr:from>
    <xdr:to>
      <xdr:col>0</xdr:col>
      <xdr:colOff>1683468</xdr:colOff>
      <xdr:row>0</xdr:row>
      <xdr:rowOff>1458361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161925"/>
          <a:ext cx="1311993" cy="1296436"/>
        </a:xfrm>
        <a:prstGeom prst="rect">
          <a:avLst/>
        </a:prstGeom>
      </xdr:spPr>
    </xdr:pic>
    <xdr:clientData/>
  </xdr:twoCellAnchor>
  <xdr:twoCellAnchor editAs="oneCell">
    <xdr:from>
      <xdr:col>2</xdr:col>
      <xdr:colOff>88446</xdr:colOff>
      <xdr:row>23</xdr:row>
      <xdr:rowOff>38100</xdr:rowOff>
    </xdr:from>
    <xdr:to>
      <xdr:col>3</xdr:col>
      <xdr:colOff>591911</xdr:colOff>
      <xdr:row>30</xdr:row>
      <xdr:rowOff>66675</xdr:rowOff>
    </xdr:to>
    <xdr:pic>
      <xdr:nvPicPr>
        <xdr:cNvPr id="2" name="Picture 1"/>
        <xdr:cNvPicPr>
          <a:picLocks noChangeAspect="1"/>
        </xdr:cNvPicPr>
      </xdr:nvPicPr>
      <xdr:blipFill rotWithShape="1">
        <a:blip xmlns:r="http://schemas.openxmlformats.org/officeDocument/2006/relationships" r:embed="rId7"/>
        <a:srcRect l="36013" t="61384" r="47262" b="23984"/>
        <a:stretch/>
      </xdr:blipFill>
      <xdr:spPr>
        <a:xfrm>
          <a:off x="3012621" y="6334125"/>
          <a:ext cx="2046515" cy="1428750"/>
        </a:xfrm>
        <a:prstGeom prst="rect">
          <a:avLst/>
        </a:prstGeom>
      </xdr:spPr>
    </xdr:pic>
    <xdr:clientData/>
  </xdr:twoCellAnchor>
  <xdr:twoCellAnchor>
    <xdr:from>
      <xdr:col>3</xdr:col>
      <xdr:colOff>771525</xdr:colOff>
      <xdr:row>23</xdr:row>
      <xdr:rowOff>47625</xdr:rowOff>
    </xdr:from>
    <xdr:to>
      <xdr:col>4</xdr:col>
      <xdr:colOff>639600</xdr:colOff>
      <xdr:row>24</xdr:row>
      <xdr:rowOff>121200</xdr:rowOff>
    </xdr:to>
    <xdr:sp macro="[0]!printExpenditure" textlink="">
      <xdr:nvSpPr>
        <xdr:cNvPr id="16" name="Rectangle 15"/>
        <xdr:cNvSpPr/>
      </xdr:nvSpPr>
      <xdr:spPr>
        <a:xfrm>
          <a:off x="5238750" y="6734175"/>
          <a:ext cx="1677825" cy="273600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chemeClr val="tx1"/>
              </a:solidFill>
              <a:latin typeface="Palatino Linotype" panose="02040502050505030304" pitchFamily="18" charset="0"/>
            </a:rPr>
            <a:t>Print Expenditure</a:t>
          </a:r>
        </a:p>
      </xdr:txBody>
    </xdr:sp>
    <xdr:clientData/>
  </xdr:twoCellAnchor>
  <xdr:twoCellAnchor>
    <xdr:from>
      <xdr:col>3</xdr:col>
      <xdr:colOff>771525</xdr:colOff>
      <xdr:row>25</xdr:row>
      <xdr:rowOff>19050</xdr:rowOff>
    </xdr:from>
    <xdr:to>
      <xdr:col>4</xdr:col>
      <xdr:colOff>639600</xdr:colOff>
      <xdr:row>26</xdr:row>
      <xdr:rowOff>92625</xdr:rowOff>
    </xdr:to>
    <xdr:sp macro="[0]!printCleaners" textlink="">
      <xdr:nvSpPr>
        <xdr:cNvPr id="17" name="Rectangle 16"/>
        <xdr:cNvSpPr/>
      </xdr:nvSpPr>
      <xdr:spPr>
        <a:xfrm>
          <a:off x="5238750" y="7105650"/>
          <a:ext cx="1677825" cy="273600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chemeClr val="tx1"/>
              </a:solidFill>
              <a:latin typeface="Palatino Linotype" panose="02040502050505030304" pitchFamily="18" charset="0"/>
            </a:rPr>
            <a:t>Print</a:t>
          </a:r>
          <a:r>
            <a:rPr lang="en-GB" sz="1100" baseline="0">
              <a:solidFill>
                <a:schemeClr val="tx1"/>
              </a:solidFill>
              <a:latin typeface="Palatino Linotype" panose="02040502050505030304" pitchFamily="18" charset="0"/>
            </a:rPr>
            <a:t> Cleaners</a:t>
          </a:r>
          <a:endParaRPr lang="en-GB" sz="1100">
            <a:solidFill>
              <a:schemeClr val="tx1"/>
            </a:solidFill>
            <a:latin typeface="Palatino Linotype" panose="02040502050505030304" pitchFamily="18" charset="0"/>
          </a:endParaRPr>
        </a:p>
      </xdr:txBody>
    </xdr:sp>
    <xdr:clientData/>
  </xdr:twoCellAnchor>
  <xdr:twoCellAnchor>
    <xdr:from>
      <xdr:col>3</xdr:col>
      <xdr:colOff>762000</xdr:colOff>
      <xdr:row>27</xdr:row>
      <xdr:rowOff>9525</xdr:rowOff>
    </xdr:from>
    <xdr:to>
      <xdr:col>4</xdr:col>
      <xdr:colOff>630075</xdr:colOff>
      <xdr:row>28</xdr:row>
      <xdr:rowOff>83100</xdr:rowOff>
    </xdr:to>
    <xdr:sp macro="[0]!printFood" textlink="">
      <xdr:nvSpPr>
        <xdr:cNvPr id="18" name="Rectangle 17"/>
        <xdr:cNvSpPr/>
      </xdr:nvSpPr>
      <xdr:spPr>
        <a:xfrm>
          <a:off x="5229225" y="7496175"/>
          <a:ext cx="1677825" cy="273600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chemeClr val="tx1"/>
              </a:solidFill>
              <a:latin typeface="Palatino Linotype" panose="02040502050505030304" pitchFamily="18" charset="0"/>
            </a:rPr>
            <a:t>Print</a:t>
          </a:r>
          <a:r>
            <a:rPr lang="en-GB" sz="1100" baseline="0">
              <a:solidFill>
                <a:schemeClr val="tx1"/>
              </a:solidFill>
              <a:latin typeface="Palatino Linotype" panose="02040502050505030304" pitchFamily="18" charset="0"/>
            </a:rPr>
            <a:t> Food Costs</a:t>
          </a:r>
          <a:endParaRPr lang="en-GB" sz="1100">
            <a:solidFill>
              <a:schemeClr val="tx1"/>
            </a:solidFill>
            <a:latin typeface="Palatino Linotype" panose="02040502050505030304" pitchFamily="18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</xdr:colOff>
      <xdr:row>10</xdr:row>
      <xdr:rowOff>19051</xdr:rowOff>
    </xdr:from>
    <xdr:to>
      <xdr:col>3</xdr:col>
      <xdr:colOff>39525</xdr:colOff>
      <xdr:row>11</xdr:row>
      <xdr:rowOff>102151</xdr:rowOff>
    </xdr:to>
    <xdr:sp macro="" textlink="">
      <xdr:nvSpPr>
        <xdr:cNvPr id="4" name="Rectangle 3">
          <a:hlinkClick xmlns:r="http://schemas.openxmlformats.org/officeDocument/2006/relationships" r:id="rId1"/>
        </xdr:cNvPr>
        <xdr:cNvSpPr/>
      </xdr:nvSpPr>
      <xdr:spPr>
        <a:xfrm>
          <a:off x="1885950" y="1924051"/>
          <a:ext cx="1249200" cy="2736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chemeClr val="tx1"/>
              </a:solidFill>
              <a:latin typeface="Palatino Linotype" panose="02040502050505030304" pitchFamily="18" charset="0"/>
            </a:rPr>
            <a:t>Customers</a:t>
          </a:r>
        </a:p>
      </xdr:txBody>
    </xdr:sp>
    <xdr:clientData/>
  </xdr:twoCellAnchor>
  <xdr:twoCellAnchor>
    <xdr:from>
      <xdr:col>3</xdr:col>
      <xdr:colOff>161925</xdr:colOff>
      <xdr:row>10</xdr:row>
      <xdr:rowOff>19051</xdr:rowOff>
    </xdr:from>
    <xdr:to>
      <xdr:col>4</xdr:col>
      <xdr:colOff>172875</xdr:colOff>
      <xdr:row>11</xdr:row>
      <xdr:rowOff>102151</xdr:rowOff>
    </xdr:to>
    <xdr:sp macro="" textlink="">
      <xdr:nvSpPr>
        <xdr:cNvPr id="5" name="Rectangle 4">
          <a:hlinkClick xmlns:r="http://schemas.openxmlformats.org/officeDocument/2006/relationships" r:id="rId2"/>
        </xdr:cNvPr>
        <xdr:cNvSpPr/>
      </xdr:nvSpPr>
      <xdr:spPr>
        <a:xfrm>
          <a:off x="3257550" y="1924051"/>
          <a:ext cx="1249200" cy="2736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chemeClr val="tx1"/>
              </a:solidFill>
              <a:latin typeface="Palatino Linotype" panose="02040502050505030304" pitchFamily="18" charset="0"/>
            </a:rPr>
            <a:t>Bookings</a:t>
          </a:r>
        </a:p>
        <a:p>
          <a:pPr algn="ctr"/>
          <a:endParaRPr lang="en-GB" sz="1100">
            <a:solidFill>
              <a:schemeClr val="tx1"/>
            </a:solidFill>
            <a:latin typeface="Palatino Linotype" panose="02040502050505030304" pitchFamily="18" charset="0"/>
          </a:endParaRPr>
        </a:p>
      </xdr:txBody>
    </xdr:sp>
    <xdr:clientData/>
  </xdr:twoCellAnchor>
  <xdr:twoCellAnchor>
    <xdr:from>
      <xdr:col>4</xdr:col>
      <xdr:colOff>295275</xdr:colOff>
      <xdr:row>10</xdr:row>
      <xdr:rowOff>19051</xdr:rowOff>
    </xdr:from>
    <xdr:to>
      <xdr:col>5</xdr:col>
      <xdr:colOff>477675</xdr:colOff>
      <xdr:row>11</xdr:row>
      <xdr:rowOff>102151</xdr:rowOff>
    </xdr:to>
    <xdr:sp macro="" textlink="">
      <xdr:nvSpPr>
        <xdr:cNvPr id="6" name="Rectangle 5">
          <a:hlinkClick xmlns:r="http://schemas.openxmlformats.org/officeDocument/2006/relationships" r:id="rId3"/>
        </xdr:cNvPr>
        <xdr:cNvSpPr/>
      </xdr:nvSpPr>
      <xdr:spPr>
        <a:xfrm>
          <a:off x="4629150" y="1924051"/>
          <a:ext cx="1249200" cy="273600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chemeClr val="tx1"/>
              </a:solidFill>
              <a:latin typeface="Palatino Linotype" panose="02040502050505030304" pitchFamily="18" charset="0"/>
            </a:rPr>
            <a:t>Rooms</a:t>
          </a:r>
        </a:p>
      </xdr:txBody>
    </xdr:sp>
    <xdr:clientData/>
  </xdr:twoCellAnchor>
  <xdr:twoCellAnchor>
    <xdr:from>
      <xdr:col>5</xdr:col>
      <xdr:colOff>600075</xdr:colOff>
      <xdr:row>10</xdr:row>
      <xdr:rowOff>19050</xdr:rowOff>
    </xdr:from>
    <xdr:to>
      <xdr:col>6</xdr:col>
      <xdr:colOff>906300</xdr:colOff>
      <xdr:row>11</xdr:row>
      <xdr:rowOff>102150</xdr:rowOff>
    </xdr:to>
    <xdr:sp macro="" textlink="">
      <xdr:nvSpPr>
        <xdr:cNvPr id="9" name="Rectangle 8">
          <a:hlinkClick xmlns:r="http://schemas.openxmlformats.org/officeDocument/2006/relationships" r:id="rId4"/>
        </xdr:cNvPr>
        <xdr:cNvSpPr/>
      </xdr:nvSpPr>
      <xdr:spPr>
        <a:xfrm>
          <a:off x="6000750" y="1924050"/>
          <a:ext cx="1249200" cy="273600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chemeClr val="tx1"/>
              </a:solidFill>
              <a:latin typeface="Palatino Linotype" panose="02040502050505030304" pitchFamily="18" charset="0"/>
            </a:rPr>
            <a:t>Expenditure</a:t>
          </a:r>
        </a:p>
      </xdr:txBody>
    </xdr:sp>
    <xdr:clientData/>
  </xdr:twoCellAnchor>
  <xdr:twoCellAnchor>
    <xdr:from>
      <xdr:col>6</xdr:col>
      <xdr:colOff>1028700</xdr:colOff>
      <xdr:row>10</xdr:row>
      <xdr:rowOff>19050</xdr:rowOff>
    </xdr:from>
    <xdr:to>
      <xdr:col>8</xdr:col>
      <xdr:colOff>96675</xdr:colOff>
      <xdr:row>11</xdr:row>
      <xdr:rowOff>102150</xdr:rowOff>
    </xdr:to>
    <xdr:sp macro="" textlink="">
      <xdr:nvSpPr>
        <xdr:cNvPr id="10" name="Rectangle 9">
          <a:hlinkClick xmlns:r="http://schemas.openxmlformats.org/officeDocument/2006/relationships" r:id="rId5"/>
        </xdr:cNvPr>
        <xdr:cNvSpPr/>
      </xdr:nvSpPr>
      <xdr:spPr>
        <a:xfrm>
          <a:off x="7372350" y="1924050"/>
          <a:ext cx="1249200" cy="2736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chemeClr val="tx1"/>
              </a:solidFill>
              <a:latin typeface="Palatino Linotype" panose="02040502050505030304" pitchFamily="18" charset="0"/>
            </a:rPr>
            <a:t>Invoice</a:t>
          </a:r>
        </a:p>
      </xdr:txBody>
    </xdr:sp>
    <xdr:clientData/>
  </xdr:twoCellAnchor>
  <xdr:twoCellAnchor>
    <xdr:from>
      <xdr:col>0</xdr:col>
      <xdr:colOff>0</xdr:colOff>
      <xdr:row>10</xdr:row>
      <xdr:rowOff>19051</xdr:rowOff>
    </xdr:from>
    <xdr:to>
      <xdr:col>1</xdr:col>
      <xdr:colOff>638174</xdr:colOff>
      <xdr:row>11</xdr:row>
      <xdr:rowOff>102151</xdr:rowOff>
    </xdr:to>
    <xdr:sp macro="[0]!quickPreviewButton_Click" textlink="">
      <xdr:nvSpPr>
        <xdr:cNvPr id="11" name="quickPreviewButton"/>
        <xdr:cNvSpPr/>
      </xdr:nvSpPr>
      <xdr:spPr>
        <a:xfrm>
          <a:off x="0" y="1924051"/>
          <a:ext cx="1676399" cy="273600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 b="1">
              <a:solidFill>
                <a:schemeClr val="tx1"/>
              </a:solidFill>
              <a:latin typeface="Palatino Linotype" panose="02040502050505030304" pitchFamily="18" charset="0"/>
            </a:rPr>
            <a:t>Quick</a:t>
          </a:r>
          <a:r>
            <a:rPr lang="en-GB" sz="1100" b="1" baseline="0">
              <a:solidFill>
                <a:schemeClr val="tx1"/>
              </a:solidFill>
              <a:latin typeface="Palatino Linotype" panose="02040502050505030304" pitchFamily="18" charset="0"/>
            </a:rPr>
            <a:t> Preview</a:t>
          </a:r>
          <a:endParaRPr lang="en-GB" sz="1100" b="1">
            <a:solidFill>
              <a:schemeClr val="tx1"/>
            </a:solidFill>
            <a:latin typeface="Palatino Linotype" panose="02040502050505030304" pitchFamily="18" charset="0"/>
          </a:endParaRPr>
        </a:p>
      </xdr:txBody>
    </xdr:sp>
    <xdr:clientData/>
  </xdr:twoCellAnchor>
  <xdr:twoCellAnchor>
    <xdr:from>
      <xdr:col>0</xdr:col>
      <xdr:colOff>0</xdr:colOff>
      <xdr:row>12</xdr:row>
      <xdr:rowOff>180975</xdr:rowOff>
    </xdr:from>
    <xdr:to>
      <xdr:col>1</xdr:col>
      <xdr:colOff>639600</xdr:colOff>
      <xdr:row>14</xdr:row>
      <xdr:rowOff>73575</xdr:rowOff>
    </xdr:to>
    <xdr:sp macro="[0]!podfge" textlink="">
      <xdr:nvSpPr>
        <xdr:cNvPr id="8" name="Rectangle 7"/>
        <xdr:cNvSpPr/>
      </xdr:nvSpPr>
      <xdr:spPr>
        <a:xfrm>
          <a:off x="0" y="2466975"/>
          <a:ext cx="1677825" cy="273600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chemeClr val="tx1"/>
              </a:solidFill>
              <a:latin typeface="Palatino Linotype" panose="02040502050505030304" pitchFamily="18" charset="0"/>
            </a:rPr>
            <a:t>Sort</a:t>
          </a:r>
          <a:r>
            <a:rPr lang="en-GB" sz="1100" baseline="0">
              <a:solidFill>
                <a:schemeClr val="tx1"/>
              </a:solidFill>
              <a:latin typeface="Palatino Linotype" panose="02040502050505030304" pitchFamily="18" charset="0"/>
            </a:rPr>
            <a:t> by newest to oldest</a:t>
          </a:r>
          <a:endParaRPr lang="en-GB" sz="1100">
            <a:solidFill>
              <a:schemeClr val="tx1"/>
            </a:solidFill>
            <a:latin typeface="Palatino Linotype" panose="02040502050505030304" pitchFamily="18" charset="0"/>
          </a:endParaRPr>
        </a:p>
      </xdr:txBody>
    </xdr:sp>
    <xdr:clientData/>
  </xdr:twoCellAnchor>
  <xdr:twoCellAnchor>
    <xdr:from>
      <xdr:col>2</xdr:col>
      <xdr:colOff>57150</xdr:colOff>
      <xdr:row>12</xdr:row>
      <xdr:rowOff>180975</xdr:rowOff>
    </xdr:from>
    <xdr:to>
      <xdr:col>3</xdr:col>
      <xdr:colOff>468150</xdr:colOff>
      <xdr:row>14</xdr:row>
      <xdr:rowOff>73575</xdr:rowOff>
    </xdr:to>
    <xdr:sp macro="[0]!new_old" textlink="">
      <xdr:nvSpPr>
        <xdr:cNvPr id="12" name="Rectangle 11"/>
        <xdr:cNvSpPr/>
      </xdr:nvSpPr>
      <xdr:spPr>
        <a:xfrm>
          <a:off x="1885950" y="2466975"/>
          <a:ext cx="1677825" cy="273600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chemeClr val="tx1"/>
              </a:solidFill>
              <a:latin typeface="Palatino Linotype" panose="02040502050505030304" pitchFamily="18" charset="0"/>
            </a:rPr>
            <a:t>Sort</a:t>
          </a:r>
          <a:r>
            <a:rPr lang="en-GB" sz="1100" baseline="0">
              <a:solidFill>
                <a:schemeClr val="tx1"/>
              </a:solidFill>
              <a:latin typeface="Palatino Linotype" panose="02040502050505030304" pitchFamily="18" charset="0"/>
            </a:rPr>
            <a:t> by Booking ID</a:t>
          </a:r>
          <a:endParaRPr lang="en-GB" sz="1100">
            <a:solidFill>
              <a:schemeClr val="tx1"/>
            </a:solidFill>
            <a:latin typeface="Palatino Linotype" panose="02040502050505030304" pitchFamily="18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rtlCol="0" anchor="ctr"/>
      <a:lstStyle>
        <a:defPPr algn="ctr">
          <a:defRPr sz="4400">
            <a:solidFill>
              <a:schemeClr val="bg2"/>
            </a:solidFill>
            <a:latin typeface="Accord SF" pitchFamily="2" charset="0"/>
            <a:cs typeface="Aharoni" pitchFamily="2" charset="-79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iraq@gov.com" TargetMode="External"/><Relationship Id="rId3" Type="http://schemas.openxmlformats.org/officeDocument/2006/relationships/hyperlink" Target="mailto:foodie@gmail.com" TargetMode="External"/><Relationship Id="rId7" Type="http://schemas.openxmlformats.org/officeDocument/2006/relationships/hyperlink" Target="mailto:iraq@gov.com" TargetMode="External"/><Relationship Id="rId2" Type="http://schemas.openxmlformats.org/officeDocument/2006/relationships/hyperlink" Target="mailto:foodie@gmail.com" TargetMode="External"/><Relationship Id="rId1" Type="http://schemas.openxmlformats.org/officeDocument/2006/relationships/hyperlink" Target="mailto:iraq@gov.com" TargetMode="External"/><Relationship Id="rId6" Type="http://schemas.openxmlformats.org/officeDocument/2006/relationships/hyperlink" Target="mailto:iraq@gov.com" TargetMode="External"/><Relationship Id="rId5" Type="http://schemas.openxmlformats.org/officeDocument/2006/relationships/hyperlink" Target="mailto:foodie@gmail.com" TargetMode="External"/><Relationship Id="rId10" Type="http://schemas.openxmlformats.org/officeDocument/2006/relationships/drawing" Target="../drawings/drawing2.xml"/><Relationship Id="rId4" Type="http://schemas.openxmlformats.org/officeDocument/2006/relationships/hyperlink" Target="mailto:foodie@gmail.com" TargetMode="External"/><Relationship Id="rId9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 tint="0.34998626667073579"/>
  </sheetPr>
  <dimension ref="A1:AJ30"/>
  <sheetViews>
    <sheetView showGridLines="0" showRowColHeaders="0" workbookViewId="0">
      <selection activeCell="C22" sqref="C22"/>
    </sheetView>
  </sheetViews>
  <sheetFormatPr defaultRowHeight="15" x14ac:dyDescent="0.25"/>
  <cols>
    <col min="19" max="19" width="9.140625" customWidth="1"/>
  </cols>
  <sheetData>
    <row r="1" spans="1:36" ht="130.5" customHeight="1" x14ac:dyDescent="0.25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</row>
    <row r="2" spans="1:36" ht="39.75" customHeight="1" x14ac:dyDescent="0.25">
      <c r="A2" s="21"/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ht="15.75" thickBot="1" x14ac:dyDescent="0.3">
      <c r="A3" s="26"/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8"/>
    </row>
    <row r="4" spans="1:36" x14ac:dyDescent="0.25">
      <c r="A4" s="29"/>
      <c r="B4" s="36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8"/>
      <c r="T4" s="30"/>
    </row>
    <row r="5" spans="1:36" ht="22.5" customHeight="1" x14ac:dyDescent="0.45">
      <c r="A5" s="29"/>
      <c r="B5" s="39"/>
      <c r="C5" s="35" t="s">
        <v>172</v>
      </c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40"/>
      <c r="T5" s="30"/>
    </row>
    <row r="6" spans="1:36" ht="22.5" customHeight="1" x14ac:dyDescent="0.45">
      <c r="A6" s="29"/>
      <c r="B6" s="39"/>
      <c r="C6" s="35" t="s">
        <v>173</v>
      </c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40"/>
      <c r="T6" s="30"/>
    </row>
    <row r="7" spans="1:36" x14ac:dyDescent="0.25">
      <c r="A7" s="29"/>
      <c r="B7" s="3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40"/>
      <c r="T7" s="30"/>
    </row>
    <row r="8" spans="1:36" ht="22.5" customHeight="1" x14ac:dyDescent="0.45">
      <c r="A8" s="29"/>
      <c r="B8" s="39"/>
      <c r="C8" s="35" t="s">
        <v>174</v>
      </c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40"/>
      <c r="T8" s="30"/>
    </row>
    <row r="9" spans="1:36" ht="22.5" x14ac:dyDescent="0.45">
      <c r="A9" s="29"/>
      <c r="B9" s="39"/>
      <c r="C9" s="35" t="s">
        <v>177</v>
      </c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41"/>
      <c r="T9" s="30"/>
    </row>
    <row r="10" spans="1:36" ht="22.5" x14ac:dyDescent="0.45">
      <c r="A10" s="29"/>
      <c r="B10" s="39"/>
      <c r="C10" s="35" t="s">
        <v>175</v>
      </c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41"/>
      <c r="T10" s="30"/>
    </row>
    <row r="11" spans="1:36" ht="22.5" x14ac:dyDescent="0.45">
      <c r="A11" s="29"/>
      <c r="B11" s="39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41"/>
      <c r="T11" s="30"/>
    </row>
    <row r="12" spans="1:36" ht="22.5" x14ac:dyDescent="0.45">
      <c r="A12" s="29"/>
      <c r="B12" s="39"/>
      <c r="C12" s="35" t="s">
        <v>176</v>
      </c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41"/>
      <c r="T12" s="30"/>
    </row>
    <row r="13" spans="1:36" ht="23.25" thickBot="1" x14ac:dyDescent="0.5">
      <c r="A13" s="29"/>
      <c r="B13" s="42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4"/>
      <c r="O13" s="43"/>
      <c r="P13" s="43"/>
      <c r="Q13" s="43"/>
      <c r="R13" s="43"/>
      <c r="S13" s="45"/>
      <c r="T13" s="30"/>
    </row>
    <row r="14" spans="1:36" ht="22.5" x14ac:dyDescent="0.45">
      <c r="A14" s="29"/>
      <c r="B14" s="10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0"/>
    </row>
    <row r="15" spans="1:36" ht="22.5" x14ac:dyDescent="0.45">
      <c r="A15" s="29"/>
      <c r="B15" s="10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0"/>
    </row>
    <row r="16" spans="1:36" ht="22.5" x14ac:dyDescent="0.45">
      <c r="A16" s="29"/>
      <c r="B16" s="10"/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0"/>
    </row>
    <row r="17" spans="1:20" ht="22.5" x14ac:dyDescent="0.45">
      <c r="A17" s="29"/>
      <c r="B17" s="10"/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0"/>
    </row>
    <row r="18" spans="1:20" ht="22.5" x14ac:dyDescent="0.45">
      <c r="A18" s="29"/>
      <c r="B18" s="10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0"/>
    </row>
    <row r="19" spans="1:20" ht="22.5" x14ac:dyDescent="0.45">
      <c r="A19" s="29"/>
      <c r="B19" s="10"/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0"/>
    </row>
    <row r="20" spans="1:20" ht="22.5" x14ac:dyDescent="0.45">
      <c r="A20" s="29"/>
      <c r="B20" s="10"/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0"/>
    </row>
    <row r="21" spans="1:20" ht="22.5" x14ac:dyDescent="0.45">
      <c r="A21" s="29"/>
      <c r="B21" s="10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0"/>
    </row>
    <row r="22" spans="1:20" ht="22.5" x14ac:dyDescent="0.45">
      <c r="A22" s="29"/>
      <c r="B22" s="10"/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0"/>
    </row>
    <row r="23" spans="1:20" ht="22.5" x14ac:dyDescent="0.45">
      <c r="A23" s="29"/>
      <c r="B23" s="10"/>
      <c r="C23" s="35"/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0"/>
    </row>
    <row r="24" spans="1:20" ht="22.5" x14ac:dyDescent="0.45">
      <c r="A24" s="29"/>
      <c r="B24" s="10"/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0"/>
    </row>
    <row r="25" spans="1:20" ht="22.5" x14ac:dyDescent="0.45">
      <c r="A25" s="29"/>
      <c r="B25" s="10"/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0"/>
    </row>
    <row r="26" spans="1:20" ht="22.5" x14ac:dyDescent="0.45">
      <c r="A26" s="29"/>
      <c r="B26" s="10"/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0"/>
    </row>
    <row r="27" spans="1:20" ht="22.5" x14ac:dyDescent="0.45">
      <c r="A27" s="29"/>
      <c r="B27" s="10"/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0"/>
    </row>
    <row r="28" spans="1:20" ht="22.5" x14ac:dyDescent="0.45">
      <c r="A28" s="29"/>
      <c r="B28" s="10"/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0"/>
    </row>
    <row r="29" spans="1:20" ht="15.75" x14ac:dyDescent="0.3">
      <c r="A29" s="29"/>
      <c r="B29" s="10"/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0"/>
    </row>
    <row r="30" spans="1:20" x14ac:dyDescent="0.25">
      <c r="A30" s="31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3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 tint="0.59999389629810485"/>
  </sheetPr>
  <dimension ref="A1:W24"/>
  <sheetViews>
    <sheetView showGridLines="0" zoomScaleNormal="100" workbookViewId="0">
      <selection activeCell="A14" sqref="A14:H14"/>
    </sheetView>
  </sheetViews>
  <sheetFormatPr defaultRowHeight="15" x14ac:dyDescent="0.25"/>
  <cols>
    <col min="1" max="1" width="15.5703125" customWidth="1"/>
    <col min="2" max="2" width="14.140625" customWidth="1"/>
    <col min="3" max="3" width="17.5703125" customWidth="1"/>
    <col min="4" max="4" width="16" customWidth="1"/>
    <col min="5" max="5" width="23.28515625" customWidth="1"/>
    <col min="6" max="6" width="23" customWidth="1"/>
    <col min="7" max="7" width="17.42578125" bestFit="1" customWidth="1"/>
    <col min="8" max="8" width="19.7109375" customWidth="1"/>
    <col min="9" max="9" width="19.42578125" customWidth="1"/>
    <col min="10" max="10" width="17.42578125" customWidth="1"/>
    <col min="11" max="11" width="17.85546875" customWidth="1"/>
    <col min="12" max="12" width="15" customWidth="1"/>
    <col min="13" max="13" width="17.7109375" customWidth="1"/>
    <col min="14" max="14" width="17.85546875" customWidth="1"/>
    <col min="15" max="16" width="20.42578125" customWidth="1"/>
    <col min="17" max="17" width="17.28515625" customWidth="1"/>
    <col min="18" max="18" width="24.5703125" customWidth="1"/>
    <col min="19" max="19" width="23.5703125" customWidth="1"/>
    <col min="20" max="20" width="24.42578125" customWidth="1"/>
    <col min="21" max="21" width="23.7109375" customWidth="1"/>
    <col min="22" max="22" width="28" customWidth="1"/>
  </cols>
  <sheetData>
    <row r="1" spans="1:23" ht="130.5" customHeight="1" x14ac:dyDescent="0.25">
      <c r="A1" s="22"/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1"/>
    </row>
    <row r="2" spans="1:23" ht="39.75" customHeight="1" x14ac:dyDescent="0.25">
      <c r="A2" s="23"/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1"/>
    </row>
    <row r="3" spans="1:23" ht="6" customHeight="1" x14ac:dyDescent="0.25"/>
    <row r="4" spans="1:23" ht="24" customHeight="1" x14ac:dyDescent="0.25">
      <c r="A4" s="79" t="s">
        <v>0</v>
      </c>
      <c r="B4" s="79" t="s">
        <v>1</v>
      </c>
      <c r="C4" s="79" t="s">
        <v>2</v>
      </c>
      <c r="D4" s="79" t="s">
        <v>3</v>
      </c>
      <c r="E4" s="79" t="s">
        <v>41</v>
      </c>
      <c r="F4" s="79" t="s">
        <v>42</v>
      </c>
      <c r="G4" s="79" t="s">
        <v>4</v>
      </c>
      <c r="H4" s="79" t="s">
        <v>5</v>
      </c>
      <c r="I4" s="79" t="s">
        <v>6</v>
      </c>
      <c r="J4" s="79" t="s">
        <v>7</v>
      </c>
      <c r="K4" s="79" t="s">
        <v>8</v>
      </c>
    </row>
    <row r="5" spans="1:23" ht="15.75" x14ac:dyDescent="0.3">
      <c r="A5" s="76" t="s">
        <v>9</v>
      </c>
      <c r="B5" s="47" t="s">
        <v>17</v>
      </c>
      <c r="C5" s="47" t="s">
        <v>18</v>
      </c>
      <c r="D5" s="47" t="s">
        <v>53</v>
      </c>
      <c r="E5" s="48" t="s">
        <v>43</v>
      </c>
      <c r="F5" s="47" t="s">
        <v>44</v>
      </c>
      <c r="G5" s="47" t="s">
        <v>19</v>
      </c>
      <c r="H5" s="47" t="s">
        <v>20</v>
      </c>
      <c r="I5" s="47" t="s">
        <v>21</v>
      </c>
      <c r="J5" s="47" t="s">
        <v>22</v>
      </c>
      <c r="K5" s="47" t="s">
        <v>23</v>
      </c>
    </row>
    <row r="6" spans="1:23" ht="15.75" x14ac:dyDescent="0.3">
      <c r="A6" s="76" t="s">
        <v>10</v>
      </c>
      <c r="B6" s="47" t="s">
        <v>24</v>
      </c>
      <c r="C6" s="47" t="s">
        <v>26</v>
      </c>
      <c r="D6" s="47" t="s">
        <v>25</v>
      </c>
      <c r="E6" s="48" t="s">
        <v>55</v>
      </c>
      <c r="F6" s="47" t="s">
        <v>45</v>
      </c>
      <c r="G6" s="47" t="s">
        <v>27</v>
      </c>
      <c r="H6" s="47" t="s">
        <v>28</v>
      </c>
      <c r="I6" s="47" t="s">
        <v>29</v>
      </c>
      <c r="J6" s="47" t="s">
        <v>22</v>
      </c>
      <c r="K6" s="47" t="s">
        <v>23</v>
      </c>
    </row>
    <row r="7" spans="1:23" ht="15.75" x14ac:dyDescent="0.3">
      <c r="A7" s="76" t="s">
        <v>11</v>
      </c>
      <c r="B7" s="47" t="s">
        <v>30</v>
      </c>
      <c r="C7" s="47" t="s">
        <v>31</v>
      </c>
      <c r="D7" s="47" t="s">
        <v>32</v>
      </c>
      <c r="E7" s="48" t="s">
        <v>43</v>
      </c>
      <c r="F7" s="47" t="s">
        <v>46</v>
      </c>
      <c r="G7" s="47" t="s">
        <v>33</v>
      </c>
      <c r="H7" s="47" t="s">
        <v>34</v>
      </c>
      <c r="I7" s="47" t="s">
        <v>35</v>
      </c>
      <c r="J7" s="47" t="s">
        <v>22</v>
      </c>
      <c r="K7" s="47" t="s">
        <v>23</v>
      </c>
    </row>
    <row r="8" spans="1:23" ht="15.75" x14ac:dyDescent="0.3">
      <c r="A8" s="76" t="s">
        <v>12</v>
      </c>
      <c r="B8" s="47" t="s">
        <v>36</v>
      </c>
      <c r="C8" s="47" t="s">
        <v>37</v>
      </c>
      <c r="D8" s="47" t="s">
        <v>38</v>
      </c>
      <c r="E8" s="48" t="s">
        <v>55</v>
      </c>
      <c r="F8" s="47" t="s">
        <v>47</v>
      </c>
      <c r="G8" s="47" t="s">
        <v>39</v>
      </c>
      <c r="H8" s="47" t="s">
        <v>20</v>
      </c>
      <c r="I8" s="47" t="s">
        <v>40</v>
      </c>
      <c r="J8" s="47" t="s">
        <v>22</v>
      </c>
      <c r="K8" s="47" t="s">
        <v>23</v>
      </c>
    </row>
    <row r="9" spans="1:23" ht="15.75" x14ac:dyDescent="0.3">
      <c r="A9" s="76" t="s">
        <v>13</v>
      </c>
      <c r="B9" s="47" t="s">
        <v>30</v>
      </c>
      <c r="C9" s="47" t="s">
        <v>52</v>
      </c>
      <c r="D9" s="47" t="s">
        <v>53</v>
      </c>
      <c r="E9" s="48" t="s">
        <v>43</v>
      </c>
      <c r="F9" s="47" t="s">
        <v>48</v>
      </c>
      <c r="G9" s="47" t="s">
        <v>54</v>
      </c>
      <c r="H9" s="47" t="s">
        <v>57</v>
      </c>
      <c r="I9" s="47" t="s">
        <v>56</v>
      </c>
      <c r="J9" s="47" t="s">
        <v>22</v>
      </c>
      <c r="K9" s="47" t="s">
        <v>23</v>
      </c>
    </row>
    <row r="10" spans="1:23" ht="15.75" x14ac:dyDescent="0.3">
      <c r="A10" s="76" t="s">
        <v>14</v>
      </c>
      <c r="B10" s="47" t="s">
        <v>169</v>
      </c>
      <c r="C10" s="47" t="s">
        <v>18</v>
      </c>
      <c r="D10" s="47" t="s">
        <v>53</v>
      </c>
      <c r="E10" s="48" t="s">
        <v>55</v>
      </c>
      <c r="F10" s="47" t="s">
        <v>49</v>
      </c>
      <c r="G10" s="47" t="s">
        <v>19</v>
      </c>
      <c r="H10" s="47" t="s">
        <v>20</v>
      </c>
      <c r="I10" s="47" t="s">
        <v>40</v>
      </c>
      <c r="J10" s="47" t="s">
        <v>22</v>
      </c>
      <c r="K10" s="47" t="s">
        <v>23</v>
      </c>
    </row>
    <row r="11" spans="1:23" ht="15.75" x14ac:dyDescent="0.3">
      <c r="A11" s="76" t="s">
        <v>15</v>
      </c>
      <c r="B11" s="47" t="s">
        <v>30</v>
      </c>
      <c r="C11" s="47" t="s">
        <v>31</v>
      </c>
      <c r="D11" s="47" t="s">
        <v>32</v>
      </c>
      <c r="E11" s="48" t="s">
        <v>43</v>
      </c>
      <c r="F11" s="47" t="s">
        <v>50</v>
      </c>
      <c r="G11" s="47" t="s">
        <v>33</v>
      </c>
      <c r="H11" s="47" t="s">
        <v>20</v>
      </c>
      <c r="I11" s="47" t="s">
        <v>40</v>
      </c>
      <c r="J11" s="47" t="s">
        <v>22</v>
      </c>
      <c r="K11" s="47" t="s">
        <v>23</v>
      </c>
    </row>
    <row r="12" spans="1:23" ht="15.75" x14ac:dyDescent="0.3">
      <c r="A12" s="76" t="s">
        <v>16</v>
      </c>
      <c r="B12" s="47" t="s">
        <v>24</v>
      </c>
      <c r="C12" s="47" t="s">
        <v>26</v>
      </c>
      <c r="D12" s="47" t="s">
        <v>25</v>
      </c>
      <c r="E12" s="48" t="s">
        <v>55</v>
      </c>
      <c r="F12" s="47" t="s">
        <v>51</v>
      </c>
      <c r="G12" s="47" t="s">
        <v>54</v>
      </c>
      <c r="H12" s="47" t="s">
        <v>20</v>
      </c>
      <c r="I12" s="47" t="s">
        <v>40</v>
      </c>
      <c r="J12" s="47" t="s">
        <v>22</v>
      </c>
      <c r="K12" s="47" t="s">
        <v>23</v>
      </c>
      <c r="L12" s="1"/>
      <c r="M12" s="1"/>
      <c r="N12" s="1"/>
      <c r="O12" s="1"/>
      <c r="P12" s="1"/>
    </row>
    <row r="13" spans="1:23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23" ht="22.5" x14ac:dyDescent="0.45">
      <c r="A14" s="78" t="s">
        <v>179</v>
      </c>
      <c r="B14" s="77"/>
      <c r="C14" s="77"/>
      <c r="D14" s="77"/>
      <c r="E14" s="77"/>
      <c r="F14" s="77"/>
      <c r="G14" s="77"/>
      <c r="H14" s="77"/>
      <c r="I14" s="1"/>
      <c r="J14" s="1"/>
      <c r="K14" s="1"/>
      <c r="L14" s="1"/>
      <c r="M14" s="1"/>
      <c r="N14" s="1"/>
      <c r="O14" s="1"/>
      <c r="P14" s="1"/>
    </row>
    <row r="15" spans="1:23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23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1:16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1:16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1:16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1:16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1:16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1:16" x14ac:dyDescent="0.25">
      <c r="A22" s="1"/>
      <c r="B22" s="1"/>
      <c r="C22" s="1"/>
      <c r="D22" s="1"/>
      <c r="E22" s="1"/>
      <c r="F22" s="1" t="s">
        <v>161</v>
      </c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1:16" x14ac:dyDescent="0.25">
      <c r="A23" s="1"/>
      <c r="B23" s="1"/>
      <c r="C23" s="1"/>
      <c r="D23" s="1"/>
    </row>
    <row r="24" spans="1:16" x14ac:dyDescent="0.25">
      <c r="A24" s="1"/>
      <c r="B24" s="1"/>
      <c r="C24" s="1"/>
      <c r="D24" s="1"/>
    </row>
  </sheetData>
  <sortState ref="L4:V11">
    <sortCondition ref="L4:L11"/>
  </sortState>
  <mergeCells count="1">
    <mergeCell ref="A14:H14"/>
  </mergeCells>
  <dataValidations count="3">
    <dataValidation type="list" allowBlank="1" showInputMessage="1" showErrorMessage="1" sqref="B5:B12">
      <formula1>"Please choose title,Mr,Mrs,Ms,Sir,Dr,Lord,Professor"</formula1>
    </dataValidation>
    <dataValidation type="textLength" allowBlank="1" showInputMessage="1" showErrorMessage="1" errorTitle="Invalid Input" error="Postcodes cannot be longer than six characters." sqref="K5:K12">
      <formula1>1</formula1>
      <formula2>6</formula2>
    </dataValidation>
    <dataValidation type="list" allowBlank="1" showDropDown="1" showInputMessage="1" showErrorMessage="1" sqref="A5:A12">
      <formula1>$A$5:$A$12</formula1>
    </dataValidation>
  </dataValidations>
  <hyperlinks>
    <hyperlink ref="E5" r:id="rId1"/>
    <hyperlink ref="E6" r:id="rId2"/>
    <hyperlink ref="E8" r:id="rId3"/>
    <hyperlink ref="E10" r:id="rId4"/>
    <hyperlink ref="E12" r:id="rId5"/>
    <hyperlink ref="E7" r:id="rId6"/>
    <hyperlink ref="E9" r:id="rId7"/>
    <hyperlink ref="E11" r:id="rId8"/>
  </hyperlinks>
  <pageMargins left="0.7" right="0.7" top="0.75" bottom="0.75" header="0.3" footer="0.3"/>
  <pageSetup paperSize="9" orientation="portrait" r:id="rId9"/>
  <drawing r:id="rId1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0.59999389629810485"/>
  </sheetPr>
  <dimension ref="A1:AE31"/>
  <sheetViews>
    <sheetView showGridLines="0" zoomScaleNormal="100" workbookViewId="0">
      <selection activeCell="C17" sqref="C17"/>
    </sheetView>
  </sheetViews>
  <sheetFormatPr defaultRowHeight="15" x14ac:dyDescent="0.25"/>
  <cols>
    <col min="1" max="1" width="13.140625" customWidth="1"/>
    <col min="2" max="2" width="15.140625" customWidth="1"/>
    <col min="3" max="3" width="12.7109375" customWidth="1"/>
    <col min="4" max="4" width="14.5703125" customWidth="1"/>
    <col min="5" max="5" width="19.5703125" customWidth="1"/>
    <col min="6" max="6" width="20.5703125" customWidth="1"/>
    <col min="7" max="7" width="22" customWidth="1"/>
    <col min="8" max="8" width="20.28515625" customWidth="1"/>
    <col min="9" max="9" width="18.85546875" customWidth="1"/>
    <col min="10" max="10" width="20.42578125" customWidth="1"/>
    <col min="11" max="11" width="21.5703125" customWidth="1"/>
    <col min="12" max="12" width="17.5703125" customWidth="1"/>
    <col min="13" max="13" width="10.7109375" customWidth="1"/>
    <col min="14" max="14" width="15.85546875" customWidth="1"/>
    <col min="15" max="15" width="22.42578125" customWidth="1"/>
    <col min="16" max="16" width="23.85546875" customWidth="1"/>
    <col min="17" max="17" width="15.85546875" customWidth="1"/>
    <col min="18" max="18" width="20.42578125" customWidth="1"/>
    <col min="19" max="19" width="15.7109375" customWidth="1"/>
    <col min="20" max="20" width="22.28515625" customWidth="1"/>
    <col min="21" max="21" width="19.42578125" customWidth="1"/>
    <col min="22" max="23" width="16.85546875" customWidth="1"/>
    <col min="24" max="24" width="22" customWidth="1"/>
    <col min="25" max="25" width="18.7109375" customWidth="1"/>
    <col min="26" max="26" width="21.7109375" customWidth="1"/>
    <col min="27" max="27" width="21.28515625" customWidth="1"/>
    <col min="28" max="28" width="23.7109375" customWidth="1"/>
    <col min="29" max="29" width="22.7109375" customWidth="1"/>
    <col min="30" max="30" width="21.28515625" customWidth="1"/>
    <col min="31" max="31" width="15.42578125" customWidth="1"/>
  </cols>
  <sheetData>
    <row r="1" spans="1:31" ht="130.5" customHeight="1" x14ac:dyDescent="0.25">
      <c r="A1" s="22"/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</row>
    <row r="2" spans="1:31" ht="39.75" customHeight="1" x14ac:dyDescent="0.25">
      <c r="A2" s="23"/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</row>
    <row r="3" spans="1:31" ht="8.25" customHeight="1" x14ac:dyDescent="0.25"/>
    <row r="4" spans="1:31" ht="31.5" customHeight="1" x14ac:dyDescent="0.25">
      <c r="A4" s="79" t="s">
        <v>72</v>
      </c>
      <c r="B4" s="80" t="s">
        <v>0</v>
      </c>
      <c r="C4" s="80" t="s">
        <v>1</v>
      </c>
      <c r="D4" s="80" t="s">
        <v>2</v>
      </c>
      <c r="E4" s="80" t="s">
        <v>3</v>
      </c>
      <c r="F4" s="80" t="s">
        <v>41</v>
      </c>
      <c r="G4" s="80" t="s">
        <v>42</v>
      </c>
      <c r="H4" s="80" t="s">
        <v>4</v>
      </c>
      <c r="I4" s="80" t="s">
        <v>5</v>
      </c>
      <c r="J4" s="80" t="s">
        <v>6</v>
      </c>
      <c r="K4" s="80" t="s">
        <v>7</v>
      </c>
      <c r="L4" s="80" t="s">
        <v>8</v>
      </c>
      <c r="M4" s="80" t="str">
        <f>Rooms!A4</f>
        <v>Room ID</v>
      </c>
      <c r="N4" s="80" t="str">
        <f>Rooms!B4</f>
        <v>Room Type</v>
      </c>
      <c r="O4" s="80" t="str">
        <f>CONCATENATE("Initial ",Rooms!C4)</f>
        <v>Initial Room Price</v>
      </c>
      <c r="P4" s="80" t="str">
        <f>Rooms!D4</f>
        <v>Room Availability</v>
      </c>
      <c r="Q4" s="80" t="s">
        <v>76</v>
      </c>
      <c r="R4" s="80" t="s">
        <v>77</v>
      </c>
      <c r="S4" s="80" t="s">
        <v>73</v>
      </c>
      <c r="T4" s="80" t="s">
        <v>74</v>
      </c>
      <c r="U4" s="80" t="s">
        <v>75</v>
      </c>
      <c r="V4" s="80" t="s">
        <v>113</v>
      </c>
      <c r="W4" s="80" t="s">
        <v>117</v>
      </c>
      <c r="X4" s="80" t="s">
        <v>78</v>
      </c>
      <c r="Y4" s="80" t="s">
        <v>90</v>
      </c>
      <c r="Z4" s="80" t="s">
        <v>79</v>
      </c>
      <c r="AA4" s="80" t="s">
        <v>102</v>
      </c>
      <c r="AB4" s="80" t="s">
        <v>80</v>
      </c>
      <c r="AC4" s="80" t="s">
        <v>103</v>
      </c>
      <c r="AD4" s="80" t="s">
        <v>110</v>
      </c>
      <c r="AE4" s="80" t="s">
        <v>109</v>
      </c>
    </row>
    <row r="5" spans="1:31" ht="15.75" x14ac:dyDescent="0.3">
      <c r="A5" s="49" t="s">
        <v>94</v>
      </c>
      <c r="B5" s="50" t="s">
        <v>9</v>
      </c>
      <c r="C5" s="49" t="str">
        <f>VLOOKUP(B5,Customers!$A$4:$P$11,2,FALSE)</f>
        <v>Ms</v>
      </c>
      <c r="D5" s="49" t="str">
        <f>VLOOKUP(B5,Customers!$A$4:$P$11,3,FALSE)</f>
        <v>Samantha</v>
      </c>
      <c r="E5" s="49" t="str">
        <f>VLOOKUP(B5,Customers!$A$4:$P$11,4,FALSE)</f>
        <v>Blair</v>
      </c>
      <c r="F5" s="49" t="str">
        <f>VLOOKUP(B5,Customers!$A$4:$P$11,5,FALSE)</f>
        <v>iraq@gov.com</v>
      </c>
      <c r="G5" s="49" t="str">
        <f>VLOOKUP(B5,Customers!$A$4:$P$11,6,FALSE)</f>
        <v>87864 345678</v>
      </c>
      <c r="H5" s="49" t="str">
        <f>VLOOKUP(B5,Customers!$A$4:$P$11,7,FALSE)</f>
        <v>85 Afghan Lane</v>
      </c>
      <c r="I5" s="49" t="str">
        <f>VLOOKUP(B5,Customers!$A$4:$P$11,8,FALSE)</f>
        <v>London</v>
      </c>
      <c r="J5" s="49" t="str">
        <f>VLOOKUP(B5,Customers!$A$4:$P$11,9,FALSE)</f>
        <v>Westminster</v>
      </c>
      <c r="K5" s="49" t="str">
        <f>VLOOKUP(B5,Customers!$A$4:$P$11,10,FALSE)</f>
        <v>England</v>
      </c>
      <c r="L5" s="49" t="str">
        <f>VLOOKUP(B5,Customers!$A$4:$P$11,11,FALSE)</f>
        <v>SY7 8EE</v>
      </c>
      <c r="M5" s="50" t="s">
        <v>59</v>
      </c>
      <c r="N5" s="49" t="str">
        <f>VLOOKUP(M5,Rooms!$A$5:$D$12,2,FALSE)</f>
        <v>Twin</v>
      </c>
      <c r="O5" s="51">
        <f>VLOOKUP(M5,Rooms!$A$5:$D$12,3,FALSE)</f>
        <v>10</v>
      </c>
      <c r="P5" s="49" t="str">
        <f>VLOOKUP(M5,Rooms!$A$5:$D$12,4,FALSE)</f>
        <v>Available</v>
      </c>
      <c r="Q5" s="52">
        <v>41467</v>
      </c>
      <c r="R5" s="49" t="str">
        <f>CONCATENATE(S5-Q5," Days")</f>
        <v>129 Days</v>
      </c>
      <c r="S5" s="52">
        <v>41596</v>
      </c>
      <c r="T5" s="52">
        <v>41603</v>
      </c>
      <c r="U5" s="53">
        <f>T5-S5</f>
        <v>7</v>
      </c>
      <c r="V5" s="50" t="s">
        <v>115</v>
      </c>
      <c r="W5" s="53" t="str">
        <f>IF(V5="Lunch","£5.00",IF(V5="Breakfast","£2.50",IF(V5="Evening","£6.50",IF(V5="All Meals","£10.00",IF(V5="No Meals","£0.00")))))</f>
        <v>£2.50</v>
      </c>
      <c r="X5" s="50" t="s">
        <v>83</v>
      </c>
      <c r="Y5" s="53" t="str">
        <f>IF(X5="Room Only","£5.00",IF(X5="Full Service","£10.00",IF(X5="Clothes Only","£3.00")))</f>
        <v>£3.00</v>
      </c>
      <c r="Z5" s="50" t="s">
        <v>85</v>
      </c>
      <c r="AA5" s="54" t="str">
        <f>IF(Z5="Evenings","£5.00",IF(Z5="Mornings","£3.00",IF(Z5="All hours","£10.00",IF(Z5="Afternoons","£4.50"))))</f>
        <v>£3.00</v>
      </c>
      <c r="AB5" s="50" t="s">
        <v>104</v>
      </c>
      <c r="AC5" s="53" t="str">
        <f>IF(AB5="10 Minutes","£1.50",IF(AB5="20 Minutes","£3.00",IF(AB5="30 Minutes","£4.50",IF(AB5="All Day","£10.00"))))</f>
        <v>£1.50</v>
      </c>
      <c r="AD5" s="54">
        <f>U5*O5</f>
        <v>70</v>
      </c>
      <c r="AE5" s="55">
        <f>Y5+AA5+AC5+AD5+W5</f>
        <v>80</v>
      </c>
    </row>
    <row r="6" spans="1:31" ht="15.75" x14ac:dyDescent="0.3">
      <c r="A6" s="49" t="s">
        <v>95</v>
      </c>
      <c r="B6" s="50" t="s">
        <v>10</v>
      </c>
      <c r="C6" s="49" t="str">
        <f>VLOOKUP(B6,Customers!$A$4:$P$11,2,FALSE)</f>
        <v>Mrs</v>
      </c>
      <c r="D6" s="49" t="str">
        <f>VLOOKUP(B6,Customers!$A$4:$P$11,3,FALSE)</f>
        <v>Paulina</v>
      </c>
      <c r="E6" s="49" t="str">
        <f>VLOOKUP(B6,Customers!$A$4:$P$11,4,FALSE)</f>
        <v>Jebb</v>
      </c>
      <c r="F6" s="49" t="str">
        <f>VLOOKUP(B6,Customers!$A$4:$P$11,5,FALSE)</f>
        <v>foodie@gmail.com</v>
      </c>
      <c r="G6" s="49" t="str">
        <f>VLOOKUP(B6,Customers!$A$4:$P$11,6,FALSE)</f>
        <v>87864 345679</v>
      </c>
      <c r="H6" s="49" t="str">
        <f>VLOOKUP(B6,Customers!$A$4:$P$11,7,FALSE)</f>
        <v>97 Salmon Street</v>
      </c>
      <c r="I6" s="49" t="str">
        <f>VLOOKUP(B6,Customers!$A$4:$P$11,8,FALSE)</f>
        <v>Cheshire</v>
      </c>
      <c r="J6" s="49" t="str">
        <f>VLOOKUP(B6,Customers!$A$4:$P$11,9,FALSE)</f>
        <v>Ingoo Plaza</v>
      </c>
      <c r="K6" s="49" t="str">
        <f>VLOOKUP(B6,Customers!$A$4:$P$11,10,FALSE)</f>
        <v>England</v>
      </c>
      <c r="L6" s="49" t="str">
        <f>VLOOKUP(B6,Customers!$A$4:$P$11,11,FALSE)</f>
        <v>SY7 8EE</v>
      </c>
      <c r="M6" s="50" t="s">
        <v>60</v>
      </c>
      <c r="N6" s="49" t="str">
        <f>VLOOKUP(M6,Rooms!$A$5:$D$12,2,FALSE)</f>
        <v>Double</v>
      </c>
      <c r="O6" s="51">
        <f>VLOOKUP(M6,Rooms!$A$5:$D$12,3,FALSE)</f>
        <v>10</v>
      </c>
      <c r="P6" s="49" t="str">
        <f>VLOOKUP(M6,Rooms!$A$5:$D$12,4,FALSE)</f>
        <v>Available</v>
      </c>
      <c r="Q6" s="52">
        <v>41437</v>
      </c>
      <c r="R6" s="49" t="str">
        <f>CONCATENATE(S6-Q6," Days")</f>
        <v>54 Days</v>
      </c>
      <c r="S6" s="52">
        <v>41491</v>
      </c>
      <c r="T6" s="52">
        <v>41492</v>
      </c>
      <c r="U6" s="53">
        <f>T6-S6</f>
        <v>1</v>
      </c>
      <c r="V6" s="50" t="s">
        <v>115</v>
      </c>
      <c r="W6" s="53" t="str">
        <f>IF(V6="Lunch","£5.00",IF(V6="Breakfast","£2.50",IF(V6="Evening","£6.50",IF(V6="All Meals","£10.00",IF(V6="No Meals","£0.00")))))</f>
        <v>£2.50</v>
      </c>
      <c r="X6" s="50" t="s">
        <v>82</v>
      </c>
      <c r="Y6" s="53" t="str">
        <f>IF(X6="Room Only","£5.00",IF(X6="Full Service","£10.00",IF(X6="Clothes Only","£3.00")))</f>
        <v>£5.00</v>
      </c>
      <c r="Z6" s="50" t="s">
        <v>107</v>
      </c>
      <c r="AA6" s="54" t="str">
        <f>IF(Z6="Evenings","£5.00",IF(Z6="Mornings","£3.00",IF(Z6="All hours","£10.00",IF(Z6="Afternoons","£4.50"))))</f>
        <v>£5.00</v>
      </c>
      <c r="AB6" s="50" t="s">
        <v>104</v>
      </c>
      <c r="AC6" s="53" t="str">
        <f>IF(AB6="10 Minutes","£1.50",IF(AB6="20 Minutes","£3.00",IF(AB6="30 Minutes","£4.50",IF(AB6="All Day","£10.00"))))</f>
        <v>£1.50</v>
      </c>
      <c r="AD6" s="54">
        <f>U6*O6</f>
        <v>10</v>
      </c>
      <c r="AE6" s="55">
        <f>Y6+AA6+AC6+AD6+W6</f>
        <v>24</v>
      </c>
    </row>
    <row r="7" spans="1:31" ht="15.75" x14ac:dyDescent="0.3">
      <c r="A7" s="49" t="s">
        <v>101</v>
      </c>
      <c r="B7" s="50" t="s">
        <v>10</v>
      </c>
      <c r="C7" s="49" t="str">
        <f>VLOOKUP($B$12,Customers!$A$4:$K$12,2,FALSE)</f>
        <v>Doctor</v>
      </c>
      <c r="D7" s="49" t="str">
        <f>VLOOKUP($B$12,Customers!$A$4:$K$12,3,FALSE)</f>
        <v>Paul</v>
      </c>
      <c r="E7" s="49" t="str">
        <f>VLOOKUP($B$12,Customers!$A$4:$K$12,4,FALSE)</f>
        <v>Jacobs</v>
      </c>
      <c r="F7" s="49" t="str">
        <f>VLOOKUP($B$12,Customers!$A$4:$K$12,5,FALSE)</f>
        <v>iraq@gov.com</v>
      </c>
      <c r="G7" s="49" t="str">
        <f>VLOOKUP($B$12,Customers!$A$4:$K$12,6,FALSE)</f>
        <v>87864 345684</v>
      </c>
      <c r="H7" s="49" t="str">
        <f>VLOOKUP($B$12,Customers!$A$4:$K$12,7,FALSE)</f>
        <v>32 Chip Avenue</v>
      </c>
      <c r="I7" s="49" t="str">
        <f>VLOOKUP($B$12,Customers!$A$4:$K$12,8,FALSE)</f>
        <v>London</v>
      </c>
      <c r="J7" s="49" t="str">
        <f>VLOOKUP($B$12,Customers!$A$4:$K$12,9,FALSE)</f>
        <v>Hampshire</v>
      </c>
      <c r="K7" s="49" t="str">
        <f>VLOOKUP($B$12,Customers!$A$4:$K$12,10,FALSE)</f>
        <v>England</v>
      </c>
      <c r="L7" s="49" t="str">
        <f>VLOOKUP($B$12,Customers!$A$4:$K$12,11,FALSE)</f>
        <v>SY7 8EE</v>
      </c>
      <c r="M7" s="50" t="s">
        <v>66</v>
      </c>
      <c r="N7" s="49" t="str">
        <f>VLOOKUP(M7,Rooms!$A$5:$D$12,2,FALSE)</f>
        <v>Double</v>
      </c>
      <c r="O7" s="51">
        <f>VLOOKUP(M7,Rooms!$A$5:$D$12,3,FALSE)</f>
        <v>10</v>
      </c>
      <c r="P7" s="49" t="str">
        <f>VLOOKUP(M7,Rooms!$A$5:$D$12,4,FALSE)</f>
        <v>Available</v>
      </c>
      <c r="Q7" s="52">
        <v>41477</v>
      </c>
      <c r="R7" s="49" t="str">
        <f>CONCATENATE(S7-Q7," Days")</f>
        <v>21 Days</v>
      </c>
      <c r="S7" s="52">
        <v>41498</v>
      </c>
      <c r="T7" s="52">
        <v>41500</v>
      </c>
      <c r="U7" s="53">
        <f>T7-S7</f>
        <v>2</v>
      </c>
      <c r="V7" s="50" t="s">
        <v>115</v>
      </c>
      <c r="W7" s="53" t="str">
        <f>IF(V7="Lunch","£5.00",IF(V7="Breakfast","£2.50",IF(V7="Evening","£6.50",IF(V7="All Meals","£10.00",IF(V7="No Meals","£0.00")))))</f>
        <v>£2.50</v>
      </c>
      <c r="X7" s="50" t="s">
        <v>83</v>
      </c>
      <c r="Y7" s="53" t="str">
        <f>IF(X7="Room Only","£5.00",IF(X7="Full Service","£10.00",IF(X7="Clothes Only","£3.00")))</f>
        <v>£3.00</v>
      </c>
      <c r="Z7" s="50" t="s">
        <v>86</v>
      </c>
      <c r="AA7" s="54" t="str">
        <f>IF(Z7="Evenings","£5.00",IF(Z7="Mornings","£3.00",IF(Z7="All hours","£10.00",IF(Z7="Afternoons","£4.50"))))</f>
        <v>£10.00</v>
      </c>
      <c r="AB7" s="50" t="s">
        <v>108</v>
      </c>
      <c r="AC7" s="53" t="str">
        <f>IF(AB7="10 Minutes","£1.50",IF(AB7="20 Minutes","£3.00",IF(AB7="30 Minutes","£4.50",IF(AB7="All Day","£10.00"))))</f>
        <v>£10.00</v>
      </c>
      <c r="AD7" s="54">
        <f>U7*O7</f>
        <v>20</v>
      </c>
      <c r="AE7" s="55">
        <f>Y7+AA7+AC7+AD7+W7</f>
        <v>45.5</v>
      </c>
    </row>
    <row r="8" spans="1:31" ht="15.75" x14ac:dyDescent="0.3">
      <c r="A8" s="49" t="s">
        <v>96</v>
      </c>
      <c r="B8" s="50" t="s">
        <v>11</v>
      </c>
      <c r="C8" s="49" t="str">
        <f>VLOOKUP(B8,Customers!$A$4:$P$11,2,FALSE)</f>
        <v>Doctor</v>
      </c>
      <c r="D8" s="49" t="str">
        <f>VLOOKUP(B8,Customers!$A$4:$P$11,3,FALSE)</f>
        <v>Paul</v>
      </c>
      <c r="E8" s="49" t="str">
        <f>VLOOKUP(B8,Customers!$A$4:$P$11,4,FALSE)</f>
        <v>Jacobs</v>
      </c>
      <c r="F8" s="49" t="str">
        <f>VLOOKUP(B8,Customers!$A$4:$P$11,5,FALSE)</f>
        <v>iraq@gov.com</v>
      </c>
      <c r="G8" s="49" t="str">
        <f>VLOOKUP(B8,Customers!$A$4:$P$11,6,FALSE)</f>
        <v>87864 345680</v>
      </c>
      <c r="H8" s="49" t="str">
        <f>VLOOKUP(B8,Customers!$A$4:$P$11,7,FALSE)</f>
        <v>32 Chip Avenue</v>
      </c>
      <c r="I8" s="49" t="str">
        <f>VLOOKUP(B8,Customers!$A$4:$P$11,8,FALSE)</f>
        <v>Birmingham</v>
      </c>
      <c r="J8" s="49" t="str">
        <f>VLOOKUP(B8,Customers!$A$4:$P$11,9,FALSE)</f>
        <v>The Bullring</v>
      </c>
      <c r="K8" s="49" t="str">
        <f>VLOOKUP(B8,Customers!$A$4:$P$11,10,FALSE)</f>
        <v>England</v>
      </c>
      <c r="L8" s="49" t="str">
        <f>VLOOKUP(B8,Customers!$A$4:$P$11,11,FALSE)</f>
        <v>SY7 8EE</v>
      </c>
      <c r="M8" s="50" t="s">
        <v>61</v>
      </c>
      <c r="N8" s="49" t="str">
        <f>VLOOKUP(M8,Rooms!$A$5:$D$12,2,FALSE)</f>
        <v>Twin</v>
      </c>
      <c r="O8" s="51">
        <f>VLOOKUP(M8,Rooms!$A$5:$D$12,3,FALSE)</f>
        <v>10</v>
      </c>
      <c r="P8" s="49" t="str">
        <f>VLOOKUP(M8,Rooms!$A$5:$D$12,4,FALSE)</f>
        <v>Available</v>
      </c>
      <c r="Q8" s="52">
        <v>41283</v>
      </c>
      <c r="R8" s="49" t="str">
        <f>CONCATENATE(S8-Q8," Days")</f>
        <v>149 Days</v>
      </c>
      <c r="S8" s="52">
        <v>41432</v>
      </c>
      <c r="T8" s="52">
        <v>41463</v>
      </c>
      <c r="U8" s="53">
        <f>T8-S8</f>
        <v>31</v>
      </c>
      <c r="V8" s="50" t="s">
        <v>118</v>
      </c>
      <c r="W8" s="53" t="str">
        <f>IF(V8="Lunch","£5.00",IF(V8="Breakfast","£2.50",IF(V8="Evening","£6.50",IF(V8="All Meals","£10.00",IF(V8="No Meals","£0.00")))))</f>
        <v>£0.00</v>
      </c>
      <c r="X8" s="50" t="s">
        <v>81</v>
      </c>
      <c r="Y8" s="53" t="str">
        <f>IF(X8="Room Only","£5.00",IF(X8="Full Service","£10.00",IF(X8="Clothes Only","£3.00")))</f>
        <v>£10.00</v>
      </c>
      <c r="Z8" s="50" t="s">
        <v>107</v>
      </c>
      <c r="AA8" s="54" t="str">
        <f>IF(Z8="Evenings","£5.00",IF(Z8="Mornings","£3.00",IF(Z8="All hours","£10.00",IF(Z8="Afternoons","£4.50"))))</f>
        <v>£5.00</v>
      </c>
      <c r="AB8" s="50" t="s">
        <v>105</v>
      </c>
      <c r="AC8" s="53" t="str">
        <f>IF(AB8="10 Minutes","£1.50",IF(AB8="20 Minutes","£3.00",IF(AB8="30 Minutes","£4.50",IF(AB8="All Day","£10.00"))))</f>
        <v>£3.00</v>
      </c>
      <c r="AD8" s="54">
        <f>U8*O8</f>
        <v>310</v>
      </c>
      <c r="AE8" s="55">
        <f>Y8+AA8+AC8+AD8+W8</f>
        <v>328</v>
      </c>
    </row>
    <row r="9" spans="1:31" ht="15.75" x14ac:dyDescent="0.3">
      <c r="A9" s="49" t="s">
        <v>99</v>
      </c>
      <c r="B9" s="50" t="s">
        <v>11</v>
      </c>
      <c r="C9" s="49" t="str">
        <f>VLOOKUP(B9,Customers!$A$4:$P$11,2,FALSE)</f>
        <v>Doctor</v>
      </c>
      <c r="D9" s="49" t="str">
        <f>VLOOKUP(B9,Customers!$A$4:$P$11,3,FALSE)</f>
        <v>Paul</v>
      </c>
      <c r="E9" s="49" t="str">
        <f>VLOOKUP(B9,Customers!$A$4:$P$11,4,FALSE)</f>
        <v>Jacobs</v>
      </c>
      <c r="F9" s="49" t="str">
        <f>VLOOKUP(B9,Customers!$A$4:$P$11,5,FALSE)</f>
        <v>iraq@gov.com</v>
      </c>
      <c r="G9" s="49" t="str">
        <f>VLOOKUP(B9,Customers!$A$4:$P$11,6,FALSE)</f>
        <v>87864 345680</v>
      </c>
      <c r="H9" s="49" t="str">
        <f>VLOOKUP(B9,Customers!$A$4:$P$11,7,FALSE)</f>
        <v>32 Chip Avenue</v>
      </c>
      <c r="I9" s="49" t="str">
        <f>VLOOKUP(B9,Customers!$A$4:$P$11,8,FALSE)</f>
        <v>Birmingham</v>
      </c>
      <c r="J9" s="49" t="str">
        <f>VLOOKUP(B9,Customers!$A$4:$P$11,9,FALSE)</f>
        <v>The Bullring</v>
      </c>
      <c r="K9" s="49" t="str">
        <f>VLOOKUP(B9,Customers!$A$4:$P$11,10,FALSE)</f>
        <v>England</v>
      </c>
      <c r="L9" s="49" t="str">
        <f>VLOOKUP(B9,Customers!$A$4:$P$11,11,FALSE)</f>
        <v>SY7 8EE</v>
      </c>
      <c r="M9" s="50" t="s">
        <v>64</v>
      </c>
      <c r="N9" s="49" t="str">
        <f>VLOOKUP(M9,Rooms!$A$5:$D$12,2,FALSE)</f>
        <v>Double</v>
      </c>
      <c r="O9" s="51">
        <f>VLOOKUP(M9,Rooms!$A$5:$D$12,3,FALSE)</f>
        <v>10</v>
      </c>
      <c r="P9" s="49" t="str">
        <f>VLOOKUP(M9,Rooms!$A$5:$D$12,4,FALSE)</f>
        <v>Available</v>
      </c>
      <c r="Q9" s="52">
        <v>41401</v>
      </c>
      <c r="R9" s="49" t="str">
        <f>CONCATENATE(S9-Q9," Days")</f>
        <v>34 Days</v>
      </c>
      <c r="S9" s="52">
        <v>41435</v>
      </c>
      <c r="T9" s="52">
        <v>41437</v>
      </c>
      <c r="U9" s="53">
        <f>T9-S9</f>
        <v>2</v>
      </c>
      <c r="V9" s="50" t="s">
        <v>116</v>
      </c>
      <c r="W9" s="53" t="str">
        <f>IF(V9="Lunch","£5.00",IF(V9="Breakfast","£2.50",IF(V9="Evening","£6.50",IF(V9="All Meals","£10.00",IF(V9="No Meals","£0.00")))))</f>
        <v>£6.50</v>
      </c>
      <c r="X9" s="50" t="s">
        <v>82</v>
      </c>
      <c r="Y9" s="53" t="str">
        <f>IF(X9="Room Only","£5.00",IF(X9="Full Service","£10.00",IF(X9="Clothes Only","£3.00")))</f>
        <v>£5.00</v>
      </c>
      <c r="Z9" s="50" t="s">
        <v>86</v>
      </c>
      <c r="AA9" s="54" t="str">
        <f>IF(Z9="Evenings","£5.00",IF(Z9="Mornings","£3.00",IF(Z9="All hours","£10.00",IF(Z9="Afternoons","£4.50"))))</f>
        <v>£10.00</v>
      </c>
      <c r="AB9" s="50" t="s">
        <v>105</v>
      </c>
      <c r="AC9" s="53" t="str">
        <f>IF(AB9="10 Minutes","£1.50",IF(AB9="20 Minutes","£3.00",IF(AB9="30 Minutes","£4.50",IF(AB9="All Day","£10.00"))))</f>
        <v>£3.00</v>
      </c>
      <c r="AD9" s="54">
        <f>U9*O9</f>
        <v>20</v>
      </c>
      <c r="AE9" s="55">
        <f>Y9+AA9+AC9+AD9+W9</f>
        <v>44.5</v>
      </c>
    </row>
    <row r="10" spans="1:31" ht="15.75" x14ac:dyDescent="0.3">
      <c r="A10" s="49" t="s">
        <v>97</v>
      </c>
      <c r="B10" s="50" t="s">
        <v>12</v>
      </c>
      <c r="C10" s="49" t="str">
        <f>VLOOKUP(B10,Customers!$A$4:$P$11,2,FALSE)</f>
        <v>Lord</v>
      </c>
      <c r="D10" s="49" t="str">
        <f>VLOOKUP(B10,Customers!$A$4:$P$11,3,FALSE)</f>
        <v>Alan</v>
      </c>
      <c r="E10" s="49" t="str">
        <f>VLOOKUP(B10,Customers!$A$4:$P$11,4,FALSE)</f>
        <v>Sugar</v>
      </c>
      <c r="F10" s="49" t="str">
        <f>VLOOKUP(B10,Customers!$A$4:$P$11,5,FALSE)</f>
        <v>foodie@gmail.com</v>
      </c>
      <c r="G10" s="49" t="str">
        <f>VLOOKUP(B10,Customers!$A$4:$P$11,6,FALSE)</f>
        <v>87864 345681</v>
      </c>
      <c r="H10" s="49" t="str">
        <f>VLOOKUP(B10,Customers!$A$4:$P$11,7,FALSE)</f>
        <v>12 Youview Lane</v>
      </c>
      <c r="I10" s="49" t="str">
        <f>VLOOKUP(B10,Customers!$A$4:$P$11,8,FALSE)</f>
        <v>London</v>
      </c>
      <c r="J10" s="49" t="str">
        <f>VLOOKUP(B10,Customers!$A$4:$P$11,9,FALSE)</f>
        <v>Hampshire</v>
      </c>
      <c r="K10" s="49" t="str">
        <f>VLOOKUP(B10,Customers!$A$4:$P$11,10,FALSE)</f>
        <v>England</v>
      </c>
      <c r="L10" s="49" t="str">
        <f>VLOOKUP(B10,Customers!$A$4:$P$11,11,FALSE)</f>
        <v>SY7 8EE</v>
      </c>
      <c r="M10" s="50" t="s">
        <v>62</v>
      </c>
      <c r="N10" s="49" t="str">
        <f>VLOOKUP(M10,Rooms!$A$5:$D$12,2,FALSE)</f>
        <v>Double</v>
      </c>
      <c r="O10" s="51">
        <f>VLOOKUP(M10,Rooms!$A$5:$D$12,3,FALSE)</f>
        <v>10</v>
      </c>
      <c r="P10" s="49" t="str">
        <f>VLOOKUP(M10,Rooms!$A$5:$D$12,4,FALSE)</f>
        <v>Available</v>
      </c>
      <c r="Q10" s="52">
        <v>41289</v>
      </c>
      <c r="R10" s="49" t="str">
        <f>CONCATENATE(S10-Q10," Days")</f>
        <v>345 Days</v>
      </c>
      <c r="S10" s="52">
        <v>41634</v>
      </c>
      <c r="T10" s="52">
        <v>41640</v>
      </c>
      <c r="U10" s="53">
        <f>T10-S10</f>
        <v>6</v>
      </c>
      <c r="V10" s="50" t="s">
        <v>114</v>
      </c>
      <c r="W10" s="53" t="str">
        <f>IF(V10="Lunch","£5.00",IF(V10="Breakfast","£2.50",IF(V10="Evening","£6.50",IF(V10="All Meals","£10.00",IF(V10="No Meals","£0.00")))))</f>
        <v>£5.00</v>
      </c>
      <c r="X10" s="50" t="s">
        <v>81</v>
      </c>
      <c r="Y10" s="53" t="str">
        <f>IF(X10="Room Only","£5.00",IF(X10="Full Service","£10.00",IF(X10="Clothes Only","£3.00")))</f>
        <v>£10.00</v>
      </c>
      <c r="Z10" s="50" t="s">
        <v>87</v>
      </c>
      <c r="AA10" s="54" t="str">
        <f>IF(Z10="Evenings","£5.00",IF(Z10="Mornings","£3.00",IF(Z10="All hours","£10.00",IF(Z10="Afternoons","£4.50"))))</f>
        <v>£4.50</v>
      </c>
      <c r="AB10" s="50" t="s">
        <v>108</v>
      </c>
      <c r="AC10" s="53" t="str">
        <f>IF(AB10="10 Minutes","£1.50",IF(AB10="20 Minutes","£3.00",IF(AB10="30 Minutes","£4.50",IF(AB10="All Day","£10.00"))))</f>
        <v>£10.00</v>
      </c>
      <c r="AD10" s="54">
        <f>U10*O10</f>
        <v>60</v>
      </c>
      <c r="AE10" s="55">
        <f>Y10+AA10+AC10+AD10+W10</f>
        <v>89.5</v>
      </c>
    </row>
    <row r="11" spans="1:31" ht="15.75" x14ac:dyDescent="0.3">
      <c r="A11" s="49" t="s">
        <v>98</v>
      </c>
      <c r="B11" s="50" t="s">
        <v>13</v>
      </c>
      <c r="C11" s="49" t="str">
        <f>VLOOKUP(B11,Customers!$A$4:$P$11,2,FALSE)</f>
        <v>Doctor</v>
      </c>
      <c r="D11" s="49" t="str">
        <f>VLOOKUP(B11,Customers!$A$4:$P$11,3,FALSE)</f>
        <v>Tony</v>
      </c>
      <c r="E11" s="49" t="str">
        <f>VLOOKUP(B11,Customers!$A$4:$P$11,4,FALSE)</f>
        <v>Blair</v>
      </c>
      <c r="F11" s="49" t="str">
        <f>VLOOKUP(B11,Customers!$A$4:$P$11,5,FALSE)</f>
        <v>iraq@gov.com</v>
      </c>
      <c r="G11" s="49" t="str">
        <f>VLOOKUP(B11,Customers!$A$4:$P$11,6,FALSE)</f>
        <v>87864 345682</v>
      </c>
      <c r="H11" s="49" t="str">
        <f>VLOOKUP(B11,Customers!$A$4:$P$11,7,FALSE)</f>
        <v>Hampshire Row</v>
      </c>
      <c r="I11" s="49" t="str">
        <f>VLOOKUP(B11,Customers!$A$4:$P$11,8,FALSE)</f>
        <v>Reading</v>
      </c>
      <c r="J11" s="49" t="str">
        <f>VLOOKUP(B11,Customers!$A$4:$P$11,9,FALSE)</f>
        <v xml:space="preserve"> Train Station</v>
      </c>
      <c r="K11" s="49" t="str">
        <f>VLOOKUP(B11,Customers!$A$4:$P$11,10,FALSE)</f>
        <v>England</v>
      </c>
      <c r="L11" s="49" t="str">
        <f>VLOOKUP(B11,Customers!$A$4:$P$11,11,FALSE)</f>
        <v>SY7 8EE</v>
      </c>
      <c r="M11" s="50" t="s">
        <v>63</v>
      </c>
      <c r="N11" s="49" t="str">
        <f>VLOOKUP(M11,Rooms!$A$5:$D$12,2,FALSE)</f>
        <v>Twin</v>
      </c>
      <c r="O11" s="51">
        <f>VLOOKUP(M11,Rooms!$A$5:$D$12,3,FALSE)</f>
        <v>10</v>
      </c>
      <c r="P11" s="49" t="str">
        <f>VLOOKUP(M11,Rooms!$A$5:$D$12,4,FALSE)</f>
        <v>Not Available</v>
      </c>
      <c r="Q11" s="52">
        <v>41356</v>
      </c>
      <c r="R11" s="49" t="str">
        <f>CONCATENATE(S11-Q11," Days")</f>
        <v>7 Days</v>
      </c>
      <c r="S11" s="52">
        <v>41363</v>
      </c>
      <c r="T11" s="52">
        <v>41374</v>
      </c>
      <c r="U11" s="53">
        <f>T11-S11</f>
        <v>11</v>
      </c>
      <c r="V11" s="50" t="s">
        <v>114</v>
      </c>
      <c r="W11" s="53" t="str">
        <f>IF(V11="Lunch","£5.00",IF(V11="Breakfast","£2.50",IF(V11="Evening","£6.50",IF(V11="All Meals","£10.00",IF(V11="No Meals","£0.00")))))</f>
        <v>£5.00</v>
      </c>
      <c r="X11" s="50" t="s">
        <v>82</v>
      </c>
      <c r="Y11" s="53" t="str">
        <f>IF(X11="Room Only","£5.00",IF(X11="Full Service","£10.00",IF(X11="Clothes Only","£3.00")))</f>
        <v>£5.00</v>
      </c>
      <c r="Z11" s="50" t="s">
        <v>85</v>
      </c>
      <c r="AA11" s="54" t="str">
        <f>IF(Z11="Evenings","£5.00",IF(Z11="Mornings","£3.00",IF(Z11="All hours","£10.00",IF(Z11="Afternoons","£4.50"))))</f>
        <v>£3.00</v>
      </c>
      <c r="AB11" s="50" t="s">
        <v>108</v>
      </c>
      <c r="AC11" s="53" t="str">
        <f>IF(AB11="10 Minutes","£1.50",IF(AB11="20 Minutes","£3.00",IF(AB11="30 Minutes","£4.50",IF(AB11="All Day","£10.00"))))</f>
        <v>£10.00</v>
      </c>
      <c r="AD11" s="54">
        <f>U11*O11</f>
        <v>110</v>
      </c>
      <c r="AE11" s="55">
        <f>Y11+AA11+AC11+AD11+W11</f>
        <v>133</v>
      </c>
    </row>
    <row r="12" spans="1:31" ht="15.75" x14ac:dyDescent="0.3">
      <c r="A12" s="49" t="s">
        <v>100</v>
      </c>
      <c r="B12" s="50" t="s">
        <v>15</v>
      </c>
      <c r="C12" s="49" t="str">
        <f>VLOOKUP(B12,Customers!$A$4:$P$11,2,FALSE)</f>
        <v>Doctor</v>
      </c>
      <c r="D12" s="49" t="str">
        <f>VLOOKUP(B12,Customers!$A$4:$P$11,3,FALSE)</f>
        <v>Paul</v>
      </c>
      <c r="E12" s="49" t="str">
        <f>VLOOKUP(B12,Customers!$A$4:$P$11,4,FALSE)</f>
        <v>Jacobs</v>
      </c>
      <c r="F12" s="49" t="str">
        <f>VLOOKUP(B12,Customers!$A$4:$P$11,5,FALSE)</f>
        <v>iraq@gov.com</v>
      </c>
      <c r="G12" s="49" t="str">
        <f>VLOOKUP(B12,Customers!$A$4:$P$11,6,FALSE)</f>
        <v>87864 345684</v>
      </c>
      <c r="H12" s="49" t="str">
        <f>VLOOKUP(B12,Customers!$A$4:$P$11,7,FALSE)</f>
        <v>32 Chip Avenue</v>
      </c>
      <c r="I12" s="49" t="str">
        <f>VLOOKUP(B12,Customers!$A$4:$P$11,8,FALSE)</f>
        <v>London</v>
      </c>
      <c r="J12" s="49" t="str">
        <f>VLOOKUP(B12,Customers!$A$4:$P$11,9,FALSE)</f>
        <v>Hampshire</v>
      </c>
      <c r="K12" s="49" t="str">
        <f>VLOOKUP(B12,Customers!$A$4:$P$11,10,FALSE)</f>
        <v>England</v>
      </c>
      <c r="L12" s="49" t="str">
        <f>VLOOKUP(B12,Customers!$A$4:$P$11,11,FALSE)</f>
        <v>SY7 8EE</v>
      </c>
      <c r="M12" s="50" t="s">
        <v>65</v>
      </c>
      <c r="N12" s="49" t="str">
        <f>VLOOKUP(M12,Rooms!$A$5:$D$12,2,FALSE)</f>
        <v>Twin</v>
      </c>
      <c r="O12" s="51">
        <f>VLOOKUP(M12,Rooms!$A$5:$D$12,3,FALSE)</f>
        <v>10</v>
      </c>
      <c r="P12" s="49" t="str">
        <f>VLOOKUP(M12,Rooms!$A$5:$D$12,4,FALSE)</f>
        <v>Available</v>
      </c>
      <c r="Q12" s="52">
        <v>41437</v>
      </c>
      <c r="R12" s="49" t="str">
        <f>CONCATENATE(S12-Q12," Days")</f>
        <v>4 Days</v>
      </c>
      <c r="S12" s="52">
        <v>41441</v>
      </c>
      <c r="T12" s="52">
        <v>41446</v>
      </c>
      <c r="U12" s="53">
        <f>T12-S12</f>
        <v>5</v>
      </c>
      <c r="V12" s="50" t="s">
        <v>115</v>
      </c>
      <c r="W12" s="53" t="str">
        <f>IF(V12="Lunch","£5.00",IF(V12="Breakfast","£2.50",IF(V12="Evening","£6.50",IF(V12="All Meals","£10.00",IF(V12="No Meals","£0.00")))))</f>
        <v>£2.50</v>
      </c>
      <c r="X12" s="50" t="s">
        <v>81</v>
      </c>
      <c r="Y12" s="53" t="str">
        <f>IF(X12="Room Only","£5.00",IF(X12="Full Service","£10.00",IF(X12="Clothes Only","£3.00")))</f>
        <v>£10.00</v>
      </c>
      <c r="Z12" s="50" t="s">
        <v>107</v>
      </c>
      <c r="AA12" s="54" t="str">
        <f>IF(Z12="Evenings","£5.00",IF(Z12="Mornings","£3.00",IF(Z12="All hours","£10.00",IF(Z12="Afternoons","£4.50"))))</f>
        <v>£5.00</v>
      </c>
      <c r="AB12" s="50" t="s">
        <v>104</v>
      </c>
      <c r="AC12" s="53" t="str">
        <f>IF(AB12="10 Minutes","£1.50",IF(AB12="20 Minutes","£3.00",IF(AB12="30 Minutes","£4.50",IF(AB12="All Day","£10.00"))))</f>
        <v>£1.50</v>
      </c>
      <c r="AD12" s="54">
        <f>U12*O12</f>
        <v>50</v>
      </c>
      <c r="AE12" s="55">
        <f>Y12+AA12+AC12+AD12+W12</f>
        <v>69</v>
      </c>
    </row>
    <row r="13" spans="1:31" x14ac:dyDescent="0.25">
      <c r="A13" s="7"/>
      <c r="B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8"/>
      <c r="P13" s="7"/>
      <c r="Q13" s="9"/>
      <c r="R13" s="7"/>
      <c r="S13" s="9"/>
      <c r="T13" s="9"/>
      <c r="U13" s="7"/>
      <c r="V13" s="7"/>
      <c r="W13" s="7"/>
      <c r="X13" s="10"/>
      <c r="Y13" s="10"/>
      <c r="Z13" s="7"/>
      <c r="AA13" s="7"/>
      <c r="AB13" s="7"/>
      <c r="AC13" s="7"/>
      <c r="AD13" s="7"/>
    </row>
    <row r="14" spans="1:31" ht="25.5" x14ac:dyDescent="0.5">
      <c r="B14" s="75" t="s">
        <v>178</v>
      </c>
      <c r="C14" s="75"/>
      <c r="D14" s="75"/>
      <c r="E14" s="75"/>
      <c r="F14" s="75"/>
      <c r="G14" s="75"/>
      <c r="H14" s="75"/>
      <c r="I14" s="75"/>
      <c r="J14" s="75"/>
      <c r="K14" s="7"/>
      <c r="L14" s="7"/>
      <c r="M14" s="7"/>
      <c r="N14" s="7"/>
      <c r="O14" s="8"/>
      <c r="P14" s="7"/>
      <c r="Q14" s="9"/>
      <c r="R14" s="7"/>
      <c r="S14" s="9"/>
      <c r="T14" s="9"/>
      <c r="U14" s="7"/>
      <c r="V14" s="7"/>
      <c r="W14" s="7"/>
      <c r="X14" s="10"/>
      <c r="Y14" s="10"/>
      <c r="Z14" s="7"/>
      <c r="AA14" s="7"/>
      <c r="AB14" s="7"/>
      <c r="AC14" s="7"/>
      <c r="AD14" s="7"/>
    </row>
    <row r="15" spans="1:31" x14ac:dyDescent="0.2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8"/>
      <c r="P15" s="7"/>
      <c r="Q15" s="9"/>
      <c r="R15" s="7"/>
      <c r="S15" s="9"/>
      <c r="T15" s="9"/>
      <c r="U15" s="7"/>
      <c r="V15" s="7"/>
      <c r="W15" s="7"/>
      <c r="X15" s="10"/>
      <c r="Y15" s="10"/>
      <c r="Z15" s="7"/>
      <c r="AA15" s="7"/>
      <c r="AB15" s="7"/>
      <c r="AC15" s="7"/>
      <c r="AD15" s="7"/>
    </row>
    <row r="16" spans="1:31" x14ac:dyDescent="0.25">
      <c r="A16" s="7"/>
      <c r="B16" s="7"/>
      <c r="C16" s="7"/>
      <c r="D16" s="7"/>
      <c r="E16" s="7"/>
      <c r="F16" s="7"/>
      <c r="G16" s="7"/>
      <c r="H16" s="7"/>
      <c r="J16" s="7"/>
      <c r="K16" s="19"/>
      <c r="L16" s="7"/>
      <c r="M16" s="7"/>
      <c r="N16" s="7"/>
      <c r="O16" s="8"/>
      <c r="P16" s="7"/>
      <c r="Q16" s="9"/>
      <c r="R16" s="7"/>
      <c r="S16" s="9"/>
      <c r="T16" s="9"/>
      <c r="U16" s="7"/>
      <c r="V16" s="7"/>
      <c r="W16" s="7"/>
      <c r="X16" s="10"/>
      <c r="Y16" s="10"/>
      <c r="Z16" s="7"/>
      <c r="AA16" s="7"/>
      <c r="AB16" s="7"/>
      <c r="AC16" s="7"/>
      <c r="AD16" s="7"/>
    </row>
    <row r="17" spans="1:30" x14ac:dyDescent="0.25">
      <c r="A17" s="7"/>
      <c r="B17" s="7"/>
      <c r="C17" s="7"/>
      <c r="D17" s="7"/>
      <c r="E17" s="7"/>
      <c r="F17" s="7"/>
      <c r="G17" s="7"/>
      <c r="H17" s="7"/>
      <c r="I17" s="19"/>
      <c r="J17" s="7"/>
      <c r="K17" s="7"/>
      <c r="L17" s="7"/>
      <c r="M17" s="7"/>
      <c r="N17" s="7"/>
      <c r="O17" s="8"/>
      <c r="P17" s="7"/>
      <c r="Q17" s="9"/>
      <c r="R17" s="7"/>
      <c r="S17" s="9"/>
      <c r="T17" s="9"/>
      <c r="U17" s="7"/>
      <c r="V17" s="7"/>
      <c r="W17" s="7"/>
      <c r="X17" s="10"/>
      <c r="Y17" s="10"/>
      <c r="Z17" s="7"/>
      <c r="AA17" s="7"/>
      <c r="AB17" s="7"/>
      <c r="AC17" s="7"/>
      <c r="AD17" s="7"/>
    </row>
    <row r="18" spans="1:30" x14ac:dyDescent="0.2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8"/>
      <c r="P18" s="7"/>
      <c r="Q18" s="9"/>
      <c r="R18" s="7"/>
      <c r="S18" s="9"/>
      <c r="T18" s="9"/>
      <c r="U18" s="7"/>
      <c r="V18" s="7"/>
      <c r="W18" s="7"/>
      <c r="X18" s="10"/>
      <c r="Y18" s="10"/>
      <c r="Z18" s="7"/>
      <c r="AA18" s="7"/>
      <c r="AB18" s="7"/>
      <c r="AC18" s="7"/>
      <c r="AD18" s="7"/>
    </row>
    <row r="19" spans="1:30" x14ac:dyDescent="0.25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8"/>
      <c r="P19" s="7"/>
      <c r="Q19" s="9"/>
      <c r="R19" s="7"/>
      <c r="S19" s="9"/>
      <c r="T19" s="9"/>
      <c r="U19" s="7"/>
      <c r="V19" s="7"/>
      <c r="W19" s="7"/>
      <c r="X19" s="10"/>
      <c r="Y19" s="10"/>
      <c r="Z19" s="7"/>
      <c r="AA19" s="7"/>
      <c r="AB19" s="7"/>
      <c r="AC19" s="7"/>
      <c r="AD19" s="7"/>
    </row>
    <row r="22" spans="1:30" x14ac:dyDescent="0.25">
      <c r="S22" s="10"/>
    </row>
    <row r="31" spans="1:30" x14ac:dyDescent="0.25">
      <c r="T31" s="12"/>
    </row>
  </sheetData>
  <sortState ref="A5:AE12">
    <sortCondition ref="B5:B12"/>
  </sortState>
  <mergeCells count="1">
    <mergeCell ref="B14:J14"/>
  </mergeCells>
  <conditionalFormatting sqref="T5">
    <cfRule type="cellIs" dxfId="13" priority="8" operator="lessThan">
      <formula>$S$5</formula>
    </cfRule>
  </conditionalFormatting>
  <conditionalFormatting sqref="T6">
    <cfRule type="cellIs" dxfId="12" priority="7" operator="lessThan">
      <formula>$S$6</formula>
    </cfRule>
  </conditionalFormatting>
  <conditionalFormatting sqref="T7">
    <cfRule type="cellIs" dxfId="11" priority="6" operator="lessThan">
      <formula>$S$7</formula>
    </cfRule>
  </conditionalFormatting>
  <conditionalFormatting sqref="T8">
    <cfRule type="cellIs" dxfId="10" priority="5" operator="lessThan">
      <formula>$S$8</formula>
    </cfRule>
  </conditionalFormatting>
  <conditionalFormatting sqref="T9">
    <cfRule type="cellIs" dxfId="9" priority="4" operator="lessThan">
      <formula>$S$9</formula>
    </cfRule>
  </conditionalFormatting>
  <conditionalFormatting sqref="T10">
    <cfRule type="cellIs" dxfId="8" priority="3" operator="lessThan">
      <formula>$S$10</formula>
    </cfRule>
  </conditionalFormatting>
  <conditionalFormatting sqref="T11">
    <cfRule type="cellIs" dxfId="7" priority="2" operator="lessThan">
      <formula>$S$11</formula>
    </cfRule>
  </conditionalFormatting>
  <conditionalFormatting sqref="T12">
    <cfRule type="cellIs" dxfId="6" priority="1" operator="lessThan">
      <formula>$S$12</formula>
    </cfRule>
  </conditionalFormatting>
  <dataValidations count="17">
    <dataValidation type="date" allowBlank="1" showInputMessage="1" showErrorMessage="1" errorTitle="Invalid Input" error="You must enter a valid date." sqref="S5:S19">
      <formula1>36526</formula1>
      <formula2>402114</formula2>
    </dataValidation>
    <dataValidation allowBlank="1" showInputMessage="1" showErrorMessage="1" errorTitle="Invalid Input" error="You must enter a number between 1 and 365." sqref="V18:W19 U5:U19"/>
    <dataValidation type="date" allowBlank="1" showInputMessage="1" showErrorMessage="1" errorTitle="Invalid Input" error="You must enter a valid date." sqref="T13:T19">
      <formula1>41275</formula1>
      <formula2>42350</formula2>
    </dataValidation>
    <dataValidation allowBlank="1" showInputMessage="1" showErrorMessage="1" errorTitle="Invalid Input" error="You must input a valid room ID." sqref="N5:N19"/>
    <dataValidation type="list" allowBlank="1" showInputMessage="1" errorTitle="Invalid Input" error="You must select the type of cleaning required." sqref="X5:X12 Y18:Y19">
      <formula1>"Full Service,Room Only,Clothes Only"</formula1>
    </dataValidation>
    <dataValidation type="list" allowBlank="1" showInputMessage="1" showErrorMessage="1" sqref="Z18:AA19">
      <formula1>"All hours,Mornings,Afternoons,Evening"</formula1>
    </dataValidation>
    <dataValidation type="list" allowBlank="1" showInputMessage="1" showErrorMessage="1" errorTitle="Invalid Input" error="You must select the amount of time required." sqref="AB18:AC19 AD19">
      <formula1>"10 Minutes,20 Minutes,30 Minutes,1 Hour Plus"</formula1>
    </dataValidation>
    <dataValidation allowBlank="1" showInputMessage="1" showErrorMessage="1" errorTitle="Invalid Input" error="You must enter a valid date." sqref="T5:T12"/>
    <dataValidation allowBlank="1" showInputMessage="1" errorTitle="Invalid Input" error="You must select the type of cleaning required." sqref="Y5:Y12 X18:X19"/>
    <dataValidation allowBlank="1" showInputMessage="1" showErrorMessage="1" promptTitle="Cleaning charges" prompt="This is how much the customer is charged for their cleaning. It changes depending on the services required." sqref="Y4"/>
    <dataValidation type="list" allowBlank="1" showInputMessage="1" showErrorMessage="1" sqref="Z5:Z12">
      <formula1>"All hours,Mornings,Afternoons,Evenings"</formula1>
    </dataValidation>
    <dataValidation allowBlank="1" showInputMessage="1" showErrorMessage="1" errorTitle="Invalid Input" error="You must select the amount of time required." sqref="AC5:AD12 AD18"/>
    <dataValidation type="list" allowBlank="1" showInputMessage="1" showErrorMessage="1" errorTitle="Invalid Input" error="You must select the amount of time required." sqref="AB5:AB12">
      <formula1>"10 Minutes,20 Minutes,30 Minutes,All Day"</formula1>
    </dataValidation>
    <dataValidation allowBlank="1" showInputMessage="1" showErrorMessage="1" promptTitle="Cleaning Services" prompt="This is the cleaning option the customer has opted for." sqref="X4"/>
    <dataValidation allowBlank="1" showInputMessage="1" showErrorMessage="1" promptTitle="Total Room Cost" prompt="The total cost of the room is worked out by multiplying the initial room cost by the number of nights stayed." sqref="AD4"/>
    <dataValidation type="list" allowBlank="1" showInputMessage="1" showErrorMessage="1" errorTitle="Invalid Input" error="You must choose one of the items from the list." sqref="V5:V12">
      <formula1>"Breakfast,Lunch,Evening,All Meals,No Meals"</formula1>
    </dataValidation>
    <dataValidation allowBlank="1" showInputMessage="1" showErrorMessage="1" errorTitle="Invalid Input" error="You must choose one of the items from the list." sqref="W5:W12"/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Customers!$A$5:$A$12</xm:f>
          </x14:formula1>
          <xm:sqref>B5:B12 B16:B19</xm:sqref>
        </x14:dataValidation>
        <x14:dataValidation type="list" allowBlank="1" showInputMessage="1" showErrorMessage="1" errorTitle="Invalid Input" error="You must input a valid room ID.">
          <x14:formula1>
            <xm:f>Rooms!$A$5:$A$12</xm:f>
          </x14:formula1>
          <xm:sqref>M5:M19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6" tint="0.59999389629810485"/>
  </sheetPr>
  <dimension ref="A1:AO12"/>
  <sheetViews>
    <sheetView showGridLines="0" workbookViewId="0">
      <selection activeCell="D24" sqref="D24"/>
    </sheetView>
  </sheetViews>
  <sheetFormatPr defaultRowHeight="15" x14ac:dyDescent="0.25"/>
  <cols>
    <col min="1" max="1" width="11.42578125" customWidth="1"/>
    <col min="2" max="2" width="14.28515625" customWidth="1"/>
    <col min="3" max="3" width="14.42578125" customWidth="1"/>
    <col min="4" max="4" width="22" customWidth="1"/>
    <col min="5" max="5" width="20.140625" customWidth="1"/>
    <col min="6" max="6" width="21" customWidth="1"/>
    <col min="7" max="7" width="21.28515625" customWidth="1"/>
    <col min="21" max="21" width="15.42578125" customWidth="1"/>
  </cols>
  <sheetData>
    <row r="1" spans="1:41" ht="130.5" customHeight="1" x14ac:dyDescent="0.25">
      <c r="A1" s="22"/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5">
        <f>COUNTIF($D$5:$D$12,"Available")</f>
        <v>7</v>
      </c>
      <c r="V1" s="25">
        <f>COUNTIF($D$5:$D$12,"Not available")</f>
        <v>1</v>
      </c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L1" s="22"/>
      <c r="AM1" s="22"/>
      <c r="AN1" s="22"/>
      <c r="AO1" s="22"/>
    </row>
    <row r="2" spans="1:41" ht="39.75" customHeight="1" x14ac:dyDescent="0.25">
      <c r="A2" s="23"/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</row>
    <row r="3" spans="1:41" ht="8.25" customHeight="1" x14ac:dyDescent="0.25"/>
    <row r="4" spans="1:41" ht="15.75" x14ac:dyDescent="0.25">
      <c r="A4" s="46" t="s">
        <v>58</v>
      </c>
      <c r="B4" s="46" t="s">
        <v>67</v>
      </c>
      <c r="C4" s="46" t="s">
        <v>70</v>
      </c>
      <c r="D4" s="46" t="s">
        <v>71</v>
      </c>
      <c r="E4" s="46" t="s">
        <v>170</v>
      </c>
      <c r="F4" s="46" t="s">
        <v>170</v>
      </c>
      <c r="G4" s="46" t="s">
        <v>170</v>
      </c>
    </row>
    <row r="5" spans="1:41" ht="15.75" x14ac:dyDescent="0.3">
      <c r="A5" s="53" t="s">
        <v>59</v>
      </c>
      <c r="B5" s="50" t="s">
        <v>69</v>
      </c>
      <c r="C5" s="56">
        <v>10</v>
      </c>
      <c r="D5" s="47" t="s">
        <v>106</v>
      </c>
      <c r="E5" s="57"/>
      <c r="F5" s="57"/>
      <c r="G5" s="57"/>
    </row>
    <row r="6" spans="1:41" ht="15.75" x14ac:dyDescent="0.3">
      <c r="A6" s="53" t="s">
        <v>60</v>
      </c>
      <c r="B6" s="50" t="s">
        <v>68</v>
      </c>
      <c r="C6" s="56">
        <v>10</v>
      </c>
      <c r="D6" s="47" t="s">
        <v>106</v>
      </c>
      <c r="E6" s="57"/>
      <c r="F6" s="57"/>
      <c r="G6" s="57"/>
    </row>
    <row r="7" spans="1:41" ht="15.75" x14ac:dyDescent="0.3">
      <c r="A7" s="53" t="s">
        <v>61</v>
      </c>
      <c r="B7" s="50" t="s">
        <v>69</v>
      </c>
      <c r="C7" s="56">
        <v>10</v>
      </c>
      <c r="D7" s="47" t="s">
        <v>106</v>
      </c>
      <c r="E7" s="57"/>
      <c r="F7" s="57"/>
      <c r="G7" s="57"/>
    </row>
    <row r="8" spans="1:41" ht="15.75" x14ac:dyDescent="0.3">
      <c r="A8" s="53" t="s">
        <v>62</v>
      </c>
      <c r="B8" s="50" t="s">
        <v>68</v>
      </c>
      <c r="C8" s="56">
        <v>10</v>
      </c>
      <c r="D8" s="47" t="s">
        <v>106</v>
      </c>
      <c r="E8" s="57"/>
      <c r="F8" s="57"/>
      <c r="G8" s="57"/>
    </row>
    <row r="9" spans="1:41" ht="15.75" x14ac:dyDescent="0.3">
      <c r="A9" s="53" t="s">
        <v>63</v>
      </c>
      <c r="B9" s="50" t="s">
        <v>69</v>
      </c>
      <c r="C9" s="56">
        <v>10</v>
      </c>
      <c r="D9" s="47" t="s">
        <v>160</v>
      </c>
      <c r="E9" s="57"/>
      <c r="F9" s="57"/>
      <c r="G9" s="57"/>
    </row>
    <row r="10" spans="1:41" ht="15.75" x14ac:dyDescent="0.3">
      <c r="A10" s="53" t="s">
        <v>64</v>
      </c>
      <c r="B10" s="50" t="s">
        <v>68</v>
      </c>
      <c r="C10" s="56">
        <v>10</v>
      </c>
      <c r="D10" s="47" t="s">
        <v>106</v>
      </c>
      <c r="E10" s="57"/>
      <c r="F10" s="57"/>
      <c r="G10" s="57"/>
    </row>
    <row r="11" spans="1:41" ht="15.75" x14ac:dyDescent="0.3">
      <c r="A11" s="53" t="s">
        <v>65</v>
      </c>
      <c r="B11" s="50" t="s">
        <v>69</v>
      </c>
      <c r="C11" s="56">
        <v>10</v>
      </c>
      <c r="D11" s="47" t="s">
        <v>106</v>
      </c>
      <c r="E11" s="57"/>
      <c r="F11" s="57"/>
      <c r="G11" s="57"/>
    </row>
    <row r="12" spans="1:41" ht="15.75" x14ac:dyDescent="0.3">
      <c r="A12" s="53" t="s">
        <v>66</v>
      </c>
      <c r="B12" s="50" t="s">
        <v>68</v>
      </c>
      <c r="C12" s="56">
        <v>10</v>
      </c>
      <c r="D12" s="47" t="s">
        <v>106</v>
      </c>
      <c r="E12" s="57"/>
      <c r="F12" s="57"/>
      <c r="G12" s="57"/>
    </row>
  </sheetData>
  <conditionalFormatting sqref="D5:D12">
    <cfRule type="cellIs" dxfId="5" priority="1" operator="equal">
      <formula>"Not available"</formula>
    </cfRule>
    <cfRule type="cellIs" dxfId="4" priority="2" operator="equal">
      <formula>"Available"</formula>
    </cfRule>
    <cfRule type="cellIs" dxfId="3" priority="3" operator="equal">
      <formula>"Occupied"</formula>
    </cfRule>
    <cfRule type="cellIs" dxfId="2" priority="4" operator="equal">
      <formula>"Free"</formula>
    </cfRule>
  </conditionalFormatting>
  <dataValidations count="2">
    <dataValidation type="list" allowBlank="1" showInputMessage="1" showErrorMessage="1" errorTitle="Invalid Input" error="Only twin and double rooms are available." sqref="B5:B12">
      <formula1>"Twin,Double"</formula1>
    </dataValidation>
    <dataValidation type="list" allowBlank="1" showInputMessage="1" showErrorMessage="1" errorTitle="Invalid Input" error="Rooms must be free or occupied." sqref="D5:D12">
      <formula1>"Available,Not Available"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8" tint="0.59999389629810485"/>
  </sheetPr>
  <dimension ref="A1:AX32"/>
  <sheetViews>
    <sheetView showGridLines="0" tabSelected="1" zoomScaleNormal="100" workbookViewId="0">
      <selection activeCell="E7" sqref="E7"/>
    </sheetView>
  </sheetViews>
  <sheetFormatPr defaultRowHeight="15" x14ac:dyDescent="0.25"/>
  <cols>
    <col min="1" max="1" width="28.140625" customWidth="1"/>
    <col min="2" max="2" width="15.7109375" customWidth="1"/>
    <col min="3" max="3" width="23.140625" bestFit="1" customWidth="1"/>
    <col min="4" max="4" width="27.140625" bestFit="1" customWidth="1"/>
    <col min="5" max="5" width="27.85546875" customWidth="1"/>
    <col min="6" max="6" width="33.5703125" customWidth="1"/>
    <col min="7" max="7" width="28.42578125" customWidth="1"/>
    <col min="8" max="8" width="38.140625" customWidth="1"/>
    <col min="9" max="9" width="36.7109375" customWidth="1"/>
    <col min="10" max="10" width="29.28515625" customWidth="1"/>
    <col min="11" max="11" width="28.7109375" customWidth="1"/>
    <col min="12" max="12" width="28.5703125" customWidth="1"/>
    <col min="13" max="13" width="9.140625" bestFit="1" customWidth="1"/>
    <col min="14" max="14" width="16.140625" bestFit="1" customWidth="1"/>
    <col min="15" max="15" width="9.28515625" customWidth="1"/>
    <col min="16" max="16" width="20.7109375" customWidth="1"/>
  </cols>
  <sheetData>
    <row r="1" spans="1:50" ht="130.5" customHeight="1" x14ac:dyDescent="0.25">
      <c r="A1" s="22"/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</row>
    <row r="2" spans="1:50" ht="39.75" customHeight="1" x14ac:dyDescent="0.25">
      <c r="A2" s="23"/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  <c r="AU2" s="23"/>
      <c r="AV2" s="23"/>
      <c r="AW2" s="23"/>
      <c r="AX2" s="23"/>
    </row>
    <row r="3" spans="1:50" ht="8.2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</row>
    <row r="4" spans="1:50" ht="24" customHeight="1" x14ac:dyDescent="0.25">
      <c r="A4" s="81" t="s">
        <v>111</v>
      </c>
      <c r="B4" s="81"/>
      <c r="C4" s="81"/>
      <c r="D4" s="81"/>
      <c r="E4" s="81"/>
      <c r="F4" s="81"/>
      <c r="G4" s="68" t="s">
        <v>120</v>
      </c>
      <c r="H4" s="70"/>
      <c r="I4" s="68" t="s">
        <v>121</v>
      </c>
      <c r="J4" s="70"/>
      <c r="K4" s="68" t="s">
        <v>125</v>
      </c>
      <c r="L4" s="70"/>
    </row>
    <row r="5" spans="1:50" ht="24" customHeight="1" x14ac:dyDescent="0.25">
      <c r="A5" s="84" t="s">
        <v>162</v>
      </c>
      <c r="B5" s="84" t="s">
        <v>163</v>
      </c>
      <c r="C5" s="84" t="s">
        <v>164</v>
      </c>
      <c r="D5" s="84" t="s">
        <v>112</v>
      </c>
      <c r="E5" s="84" t="s">
        <v>165</v>
      </c>
      <c r="F5" s="85" t="s">
        <v>166</v>
      </c>
      <c r="G5" s="86" t="s">
        <v>124</v>
      </c>
      <c r="H5" s="87">
        <v>1.5</v>
      </c>
      <c r="I5" s="85" t="s">
        <v>124</v>
      </c>
      <c r="J5" s="87">
        <v>5.0999999999999996</v>
      </c>
      <c r="K5" s="85" t="s">
        <v>124</v>
      </c>
      <c r="L5" s="87">
        <v>6.5</v>
      </c>
    </row>
    <row r="6" spans="1:50" ht="15.75" x14ac:dyDescent="0.3">
      <c r="A6" s="60">
        <v>2</v>
      </c>
      <c r="B6" s="61">
        <v>6.19</v>
      </c>
      <c r="C6" s="60">
        <v>21</v>
      </c>
      <c r="D6" s="61">
        <f>(A6*B6)*3</f>
        <v>37.14</v>
      </c>
      <c r="E6" s="55">
        <f>D6*7</f>
        <v>259.98</v>
      </c>
      <c r="F6" s="55">
        <f>E6*50.1775</f>
        <v>13045.146450000002</v>
      </c>
      <c r="G6" s="59" t="s">
        <v>122</v>
      </c>
      <c r="H6" s="60">
        <f>COUNTIF(Bookings!V5:V12,"Breakfast")</f>
        <v>4</v>
      </c>
      <c r="I6" s="58" t="s">
        <v>123</v>
      </c>
      <c r="J6" s="60">
        <f>COUNTIF(Bookings!V5:V12,"Lunch")</f>
        <v>2</v>
      </c>
      <c r="K6" s="58" t="s">
        <v>126</v>
      </c>
      <c r="L6" s="60">
        <f>COUNTIF(Bookings!V5:V12,"Evening")</f>
        <v>1</v>
      </c>
    </row>
    <row r="7" spans="1:50" ht="15.75" x14ac:dyDescent="0.3">
      <c r="A7" s="62"/>
      <c r="B7" s="62"/>
      <c r="C7" s="62"/>
      <c r="D7" s="62"/>
      <c r="E7" s="62"/>
      <c r="F7" s="62"/>
      <c r="G7" s="59" t="s">
        <v>109</v>
      </c>
      <c r="H7" s="61">
        <f>H6*H5</f>
        <v>6</v>
      </c>
      <c r="I7" s="58" t="s">
        <v>109</v>
      </c>
      <c r="J7" s="61">
        <f>J6*J5</f>
        <v>10.199999999999999</v>
      </c>
      <c r="K7" s="58" t="s">
        <v>109</v>
      </c>
      <c r="L7" s="61">
        <f>L6*L5</f>
        <v>6.5</v>
      </c>
    </row>
    <row r="8" spans="1:50" ht="15.75" x14ac:dyDescent="0.3">
      <c r="A8" s="62"/>
      <c r="B8" s="62"/>
      <c r="C8" s="63"/>
      <c r="D8" s="62"/>
      <c r="E8" s="62"/>
      <c r="F8" s="62"/>
      <c r="G8" s="62"/>
      <c r="H8" s="64"/>
      <c r="I8" s="63"/>
      <c r="J8" s="34"/>
      <c r="K8" s="34"/>
      <c r="L8" s="34"/>
    </row>
    <row r="9" spans="1:50" ht="15.75" x14ac:dyDescent="0.25">
      <c r="A9" s="68" t="s">
        <v>149</v>
      </c>
      <c r="B9" s="69"/>
      <c r="C9" s="69"/>
      <c r="D9" s="69"/>
      <c r="E9" s="69"/>
      <c r="F9" s="69"/>
      <c r="G9" s="69"/>
      <c r="H9" s="69"/>
      <c r="I9" s="69"/>
      <c r="J9" s="70"/>
      <c r="K9" s="71" t="s">
        <v>150</v>
      </c>
      <c r="L9" s="72"/>
    </row>
    <row r="10" spans="1:50" ht="33" customHeight="1" x14ac:dyDescent="0.25">
      <c r="A10" s="82" t="s">
        <v>139</v>
      </c>
      <c r="B10" s="82" t="s">
        <v>140</v>
      </c>
      <c r="C10" s="82" t="s">
        <v>141</v>
      </c>
      <c r="D10" s="82" t="s">
        <v>142</v>
      </c>
      <c r="E10" s="82" t="s">
        <v>143</v>
      </c>
      <c r="F10" s="82" t="s">
        <v>144</v>
      </c>
      <c r="G10" s="82" t="s">
        <v>145</v>
      </c>
      <c r="H10" s="82" t="s">
        <v>147</v>
      </c>
      <c r="I10" s="82" t="s">
        <v>146</v>
      </c>
      <c r="J10" s="82" t="s">
        <v>148</v>
      </c>
      <c r="K10" s="83" t="s">
        <v>151</v>
      </c>
      <c r="L10" s="83" t="s">
        <v>152</v>
      </c>
      <c r="M10" s="24"/>
    </row>
    <row r="11" spans="1:50" ht="15" customHeight="1" x14ac:dyDescent="0.3">
      <c r="A11" s="60" t="s">
        <v>127</v>
      </c>
      <c r="B11" s="60">
        <v>31</v>
      </c>
      <c r="C11" s="55">
        <f>$D$6*B11</f>
        <v>1151.3399999999999</v>
      </c>
      <c r="D11" s="65">
        <f t="shared" ref="D11:D22" si="0">($H$6*8)*B11</f>
        <v>992</v>
      </c>
      <c r="E11" s="61">
        <f t="shared" ref="E11:E22" si="1">D11*$H$5</f>
        <v>1488</v>
      </c>
      <c r="F11" s="60">
        <f t="shared" ref="F11:F22" si="2">($J$6*8)*B11</f>
        <v>496</v>
      </c>
      <c r="G11" s="61">
        <f t="shared" ref="G11:G22" si="3">F11*$J$5</f>
        <v>2529.6</v>
      </c>
      <c r="H11" s="60">
        <f t="shared" ref="H11:H22" si="4">$L$6*B11</f>
        <v>31</v>
      </c>
      <c r="I11" s="61">
        <f t="shared" ref="I11:I22" si="5">H11*$L$5</f>
        <v>201.5</v>
      </c>
      <c r="J11" s="61">
        <f>I11+G11+E11+C11</f>
        <v>5370.4400000000005</v>
      </c>
      <c r="K11" s="60">
        <v>120</v>
      </c>
      <c r="L11" s="55">
        <f>K11*Rooms!$C$5</f>
        <v>1200</v>
      </c>
      <c r="N11" s="18">
        <f>SUM(L11:L22)/12</f>
        <v>1279.1666666666667</v>
      </c>
    </row>
    <row r="12" spans="1:50" ht="15.75" x14ac:dyDescent="0.3">
      <c r="A12" s="60" t="s">
        <v>128</v>
      </c>
      <c r="B12" s="60">
        <v>28</v>
      </c>
      <c r="C12" s="55">
        <f t="shared" ref="C12:C22" si="6">$D$6*B12</f>
        <v>1039.92</v>
      </c>
      <c r="D12" s="65">
        <f t="shared" si="0"/>
        <v>896</v>
      </c>
      <c r="E12" s="61">
        <f t="shared" si="1"/>
        <v>1344</v>
      </c>
      <c r="F12" s="60">
        <f t="shared" si="2"/>
        <v>448</v>
      </c>
      <c r="G12" s="61">
        <f t="shared" si="3"/>
        <v>2284.7999999999997</v>
      </c>
      <c r="H12" s="60">
        <f t="shared" si="4"/>
        <v>28</v>
      </c>
      <c r="I12" s="61">
        <f t="shared" si="5"/>
        <v>182</v>
      </c>
      <c r="J12" s="61">
        <f t="shared" ref="J12:J22" si="7">I12+G12+E12+C12</f>
        <v>4850.7199999999993</v>
      </c>
      <c r="K12" s="60">
        <v>100</v>
      </c>
      <c r="L12" s="55">
        <f>K12*Rooms!$C$5</f>
        <v>1000</v>
      </c>
    </row>
    <row r="13" spans="1:50" ht="15.75" x14ac:dyDescent="0.3">
      <c r="A13" s="60" t="s">
        <v>129</v>
      </c>
      <c r="B13" s="60">
        <v>31</v>
      </c>
      <c r="C13" s="55">
        <f t="shared" si="6"/>
        <v>1151.3399999999999</v>
      </c>
      <c r="D13" s="65">
        <f t="shared" si="0"/>
        <v>992</v>
      </c>
      <c r="E13" s="61">
        <f t="shared" si="1"/>
        <v>1488</v>
      </c>
      <c r="F13" s="60">
        <f t="shared" si="2"/>
        <v>496</v>
      </c>
      <c r="G13" s="61">
        <f t="shared" si="3"/>
        <v>2529.6</v>
      </c>
      <c r="H13" s="60">
        <f t="shared" si="4"/>
        <v>31</v>
      </c>
      <c r="I13" s="61">
        <f t="shared" si="5"/>
        <v>201.5</v>
      </c>
      <c r="J13" s="61">
        <f t="shared" si="7"/>
        <v>5370.4400000000005</v>
      </c>
      <c r="K13" s="60">
        <v>110</v>
      </c>
      <c r="L13" s="55">
        <f>K13*Rooms!$C$5</f>
        <v>1100</v>
      </c>
    </row>
    <row r="14" spans="1:50" ht="15.75" x14ac:dyDescent="0.3">
      <c r="A14" s="60" t="s">
        <v>130</v>
      </c>
      <c r="B14" s="60">
        <v>30</v>
      </c>
      <c r="C14" s="55">
        <f t="shared" si="6"/>
        <v>1114.2</v>
      </c>
      <c r="D14" s="65">
        <f t="shared" si="0"/>
        <v>960</v>
      </c>
      <c r="E14" s="61">
        <f t="shared" si="1"/>
        <v>1440</v>
      </c>
      <c r="F14" s="60">
        <f t="shared" si="2"/>
        <v>480</v>
      </c>
      <c r="G14" s="61">
        <f t="shared" si="3"/>
        <v>2448</v>
      </c>
      <c r="H14" s="60">
        <f t="shared" si="4"/>
        <v>30</v>
      </c>
      <c r="I14" s="61">
        <f t="shared" si="5"/>
        <v>195</v>
      </c>
      <c r="J14" s="61">
        <f t="shared" si="7"/>
        <v>5197.2</v>
      </c>
      <c r="K14" s="60">
        <v>150</v>
      </c>
      <c r="L14" s="55">
        <f>K14*Rooms!$C$5</f>
        <v>1500</v>
      </c>
    </row>
    <row r="15" spans="1:50" ht="15.75" x14ac:dyDescent="0.3">
      <c r="A15" s="60" t="s">
        <v>131</v>
      </c>
      <c r="B15" s="60">
        <v>31</v>
      </c>
      <c r="C15" s="55">
        <f t="shared" si="6"/>
        <v>1151.3399999999999</v>
      </c>
      <c r="D15" s="65">
        <f t="shared" si="0"/>
        <v>992</v>
      </c>
      <c r="E15" s="61">
        <f t="shared" si="1"/>
        <v>1488</v>
      </c>
      <c r="F15" s="60">
        <f t="shared" si="2"/>
        <v>496</v>
      </c>
      <c r="G15" s="61">
        <f t="shared" si="3"/>
        <v>2529.6</v>
      </c>
      <c r="H15" s="60">
        <f t="shared" si="4"/>
        <v>31</v>
      </c>
      <c r="I15" s="61">
        <f t="shared" si="5"/>
        <v>201.5</v>
      </c>
      <c r="J15" s="61">
        <f t="shared" si="7"/>
        <v>5370.4400000000005</v>
      </c>
      <c r="K15" s="60">
        <v>100</v>
      </c>
      <c r="L15" s="55">
        <f>K15*Rooms!$C$5</f>
        <v>1000</v>
      </c>
    </row>
    <row r="16" spans="1:50" ht="15.75" x14ac:dyDescent="0.3">
      <c r="A16" s="60" t="s">
        <v>132</v>
      </c>
      <c r="B16" s="60">
        <v>30</v>
      </c>
      <c r="C16" s="55">
        <f t="shared" si="6"/>
        <v>1114.2</v>
      </c>
      <c r="D16" s="65">
        <f t="shared" si="0"/>
        <v>960</v>
      </c>
      <c r="E16" s="61">
        <f t="shared" si="1"/>
        <v>1440</v>
      </c>
      <c r="F16" s="60">
        <f t="shared" si="2"/>
        <v>480</v>
      </c>
      <c r="G16" s="61">
        <f t="shared" si="3"/>
        <v>2448</v>
      </c>
      <c r="H16" s="60">
        <f t="shared" si="4"/>
        <v>30</v>
      </c>
      <c r="I16" s="61">
        <f t="shared" si="5"/>
        <v>195</v>
      </c>
      <c r="J16" s="61">
        <f t="shared" si="7"/>
        <v>5197.2</v>
      </c>
      <c r="K16" s="60">
        <v>135</v>
      </c>
      <c r="L16" s="55">
        <f>K16*Rooms!$C$5</f>
        <v>1350</v>
      </c>
    </row>
    <row r="17" spans="1:13" ht="15.75" x14ac:dyDescent="0.3">
      <c r="A17" s="60" t="s">
        <v>133</v>
      </c>
      <c r="B17" s="60">
        <v>31</v>
      </c>
      <c r="C17" s="55">
        <f t="shared" si="6"/>
        <v>1151.3399999999999</v>
      </c>
      <c r="D17" s="65">
        <f t="shared" si="0"/>
        <v>992</v>
      </c>
      <c r="E17" s="61">
        <f t="shared" si="1"/>
        <v>1488</v>
      </c>
      <c r="F17" s="60">
        <f t="shared" si="2"/>
        <v>496</v>
      </c>
      <c r="G17" s="61">
        <f t="shared" si="3"/>
        <v>2529.6</v>
      </c>
      <c r="H17" s="60">
        <f t="shared" si="4"/>
        <v>31</v>
      </c>
      <c r="I17" s="61">
        <f t="shared" si="5"/>
        <v>201.5</v>
      </c>
      <c r="J17" s="61">
        <f t="shared" si="7"/>
        <v>5370.4400000000005</v>
      </c>
      <c r="K17" s="60">
        <v>120</v>
      </c>
      <c r="L17" s="55">
        <f>K17*Rooms!$C$5</f>
        <v>1200</v>
      </c>
    </row>
    <row r="18" spans="1:13" ht="15.75" x14ac:dyDescent="0.3">
      <c r="A18" s="60" t="s">
        <v>134</v>
      </c>
      <c r="B18" s="60">
        <v>31</v>
      </c>
      <c r="C18" s="55">
        <f t="shared" si="6"/>
        <v>1151.3399999999999</v>
      </c>
      <c r="D18" s="65">
        <f t="shared" si="0"/>
        <v>992</v>
      </c>
      <c r="E18" s="61">
        <f t="shared" si="1"/>
        <v>1488</v>
      </c>
      <c r="F18" s="60">
        <f t="shared" si="2"/>
        <v>496</v>
      </c>
      <c r="G18" s="61">
        <f t="shared" si="3"/>
        <v>2529.6</v>
      </c>
      <c r="H18" s="60">
        <f t="shared" si="4"/>
        <v>31</v>
      </c>
      <c r="I18" s="61">
        <f t="shared" si="5"/>
        <v>201.5</v>
      </c>
      <c r="J18" s="61">
        <f t="shared" si="7"/>
        <v>5370.4400000000005</v>
      </c>
      <c r="K18" s="60">
        <v>190</v>
      </c>
      <c r="L18" s="55">
        <f>K18*Rooms!$C$5</f>
        <v>1900</v>
      </c>
    </row>
    <row r="19" spans="1:13" ht="15.75" x14ac:dyDescent="0.3">
      <c r="A19" s="60" t="s">
        <v>135</v>
      </c>
      <c r="B19" s="60">
        <v>30</v>
      </c>
      <c r="C19" s="55">
        <f t="shared" si="6"/>
        <v>1114.2</v>
      </c>
      <c r="D19" s="65">
        <f t="shared" si="0"/>
        <v>960</v>
      </c>
      <c r="E19" s="61">
        <f t="shared" si="1"/>
        <v>1440</v>
      </c>
      <c r="F19" s="60">
        <f t="shared" si="2"/>
        <v>480</v>
      </c>
      <c r="G19" s="61">
        <f t="shared" si="3"/>
        <v>2448</v>
      </c>
      <c r="H19" s="60">
        <f t="shared" si="4"/>
        <v>30</v>
      </c>
      <c r="I19" s="61">
        <f t="shared" si="5"/>
        <v>195</v>
      </c>
      <c r="J19" s="61">
        <f t="shared" si="7"/>
        <v>5197.2</v>
      </c>
      <c r="K19" s="60">
        <v>140</v>
      </c>
      <c r="L19" s="55">
        <f>K19*Rooms!$C$5</f>
        <v>1400</v>
      </c>
    </row>
    <row r="20" spans="1:13" ht="15.75" x14ac:dyDescent="0.3">
      <c r="A20" s="60" t="s">
        <v>136</v>
      </c>
      <c r="B20" s="60">
        <v>31</v>
      </c>
      <c r="C20" s="55">
        <f t="shared" si="6"/>
        <v>1151.3399999999999</v>
      </c>
      <c r="D20" s="65">
        <f t="shared" si="0"/>
        <v>992</v>
      </c>
      <c r="E20" s="61">
        <f t="shared" si="1"/>
        <v>1488</v>
      </c>
      <c r="F20" s="60">
        <f t="shared" si="2"/>
        <v>496</v>
      </c>
      <c r="G20" s="61">
        <f t="shared" si="3"/>
        <v>2529.6</v>
      </c>
      <c r="H20" s="60">
        <f t="shared" si="4"/>
        <v>31</v>
      </c>
      <c r="I20" s="61">
        <f t="shared" si="5"/>
        <v>201.5</v>
      </c>
      <c r="J20" s="61">
        <f t="shared" si="7"/>
        <v>5370.4400000000005</v>
      </c>
      <c r="K20" s="60">
        <v>100</v>
      </c>
      <c r="L20" s="55">
        <f>K20*Rooms!$C$5</f>
        <v>1000</v>
      </c>
    </row>
    <row r="21" spans="1:13" ht="15.75" x14ac:dyDescent="0.3">
      <c r="A21" s="60" t="s">
        <v>137</v>
      </c>
      <c r="B21" s="60">
        <v>30</v>
      </c>
      <c r="C21" s="55">
        <f t="shared" si="6"/>
        <v>1114.2</v>
      </c>
      <c r="D21" s="65">
        <f t="shared" si="0"/>
        <v>960</v>
      </c>
      <c r="E21" s="61">
        <f t="shared" si="1"/>
        <v>1440</v>
      </c>
      <c r="F21" s="60">
        <f t="shared" si="2"/>
        <v>480</v>
      </c>
      <c r="G21" s="61">
        <f t="shared" si="3"/>
        <v>2448</v>
      </c>
      <c r="H21" s="60">
        <f t="shared" si="4"/>
        <v>30</v>
      </c>
      <c r="I21" s="61">
        <f t="shared" si="5"/>
        <v>195</v>
      </c>
      <c r="J21" s="61">
        <f t="shared" si="7"/>
        <v>5197.2</v>
      </c>
      <c r="K21" s="60">
        <v>140</v>
      </c>
      <c r="L21" s="55">
        <f>K21*Rooms!$C$5</f>
        <v>1400</v>
      </c>
    </row>
    <row r="22" spans="1:13" ht="15.75" x14ac:dyDescent="0.3">
      <c r="A22" s="60" t="s">
        <v>138</v>
      </c>
      <c r="B22" s="60">
        <v>31</v>
      </c>
      <c r="C22" s="55">
        <f t="shared" si="6"/>
        <v>1151.3399999999999</v>
      </c>
      <c r="D22" s="65">
        <f t="shared" si="0"/>
        <v>992</v>
      </c>
      <c r="E22" s="61">
        <f t="shared" si="1"/>
        <v>1488</v>
      </c>
      <c r="F22" s="60">
        <f t="shared" si="2"/>
        <v>496</v>
      </c>
      <c r="G22" s="61">
        <f t="shared" si="3"/>
        <v>2529.6</v>
      </c>
      <c r="H22" s="60">
        <f t="shared" si="4"/>
        <v>31</v>
      </c>
      <c r="I22" s="61">
        <f t="shared" si="5"/>
        <v>201.5</v>
      </c>
      <c r="J22" s="61">
        <f t="shared" si="7"/>
        <v>5370.4400000000005</v>
      </c>
      <c r="K22" s="60">
        <v>130</v>
      </c>
      <c r="L22" s="55">
        <f>K22*Rooms!$C$5</f>
        <v>1300</v>
      </c>
    </row>
    <row r="23" spans="1:13" ht="15.75" x14ac:dyDescent="0.3">
      <c r="A23" s="62"/>
      <c r="B23" s="62"/>
      <c r="C23" s="62"/>
      <c r="D23" s="62"/>
      <c r="E23" s="62"/>
      <c r="F23" s="62"/>
      <c r="G23" s="62"/>
      <c r="H23" s="62"/>
      <c r="I23" s="62"/>
      <c r="J23" s="62"/>
      <c r="K23" s="62"/>
      <c r="L23" s="62"/>
    </row>
    <row r="24" spans="1:13" ht="15.75" x14ac:dyDescent="0.3">
      <c r="A24" s="73" t="s">
        <v>167</v>
      </c>
      <c r="B24" s="74"/>
      <c r="C24" s="62"/>
      <c r="D24" s="62"/>
      <c r="E24" s="62"/>
      <c r="F24" s="62"/>
      <c r="G24" s="62"/>
      <c r="H24" s="62"/>
      <c r="I24" s="62"/>
      <c r="J24" s="62"/>
      <c r="K24" s="62"/>
      <c r="L24" s="62"/>
    </row>
    <row r="25" spans="1:13" ht="15.75" x14ac:dyDescent="0.3">
      <c r="A25" s="60" t="s">
        <v>153</v>
      </c>
      <c r="B25" s="55">
        <f>D6/8</f>
        <v>4.6425000000000001</v>
      </c>
      <c r="C25" s="62"/>
      <c r="D25" s="62"/>
      <c r="E25" s="62"/>
      <c r="F25" s="62"/>
      <c r="G25" s="62"/>
      <c r="H25" s="62"/>
      <c r="I25" s="62"/>
      <c r="J25" s="62"/>
      <c r="K25" s="62"/>
      <c r="L25" s="62"/>
      <c r="M25" s="18">
        <f>SUM(L11:L22)/12</f>
        <v>1279.1666666666667</v>
      </c>
    </row>
    <row r="26" spans="1:13" ht="15.75" x14ac:dyDescent="0.3">
      <c r="A26" s="60" t="s">
        <v>154</v>
      </c>
      <c r="B26" s="55">
        <f>(H7*2)/8</f>
        <v>1.5</v>
      </c>
      <c r="C26" s="62"/>
      <c r="D26" s="62"/>
      <c r="E26" s="62"/>
      <c r="F26" s="62"/>
      <c r="G26" s="62"/>
      <c r="H26" s="62"/>
      <c r="I26" s="62"/>
      <c r="J26" s="62"/>
      <c r="K26" s="62"/>
      <c r="L26" s="62"/>
    </row>
    <row r="27" spans="1:13" ht="15.75" x14ac:dyDescent="0.3">
      <c r="A27" s="60" t="s">
        <v>158</v>
      </c>
      <c r="B27" s="55">
        <f>J7/8</f>
        <v>1.2749999999999999</v>
      </c>
      <c r="C27" s="62"/>
      <c r="D27" s="62"/>
      <c r="E27" s="62"/>
      <c r="F27" s="62"/>
      <c r="G27" s="62"/>
      <c r="H27" s="62"/>
      <c r="I27" s="62"/>
      <c r="J27" s="62"/>
      <c r="K27" s="62"/>
      <c r="L27" s="62"/>
    </row>
    <row r="28" spans="1:13" ht="15.75" x14ac:dyDescent="0.3">
      <c r="A28" s="60" t="s">
        <v>159</v>
      </c>
      <c r="B28" s="55">
        <f>L7/8</f>
        <v>0.8125</v>
      </c>
      <c r="C28" s="62"/>
      <c r="D28" s="62"/>
      <c r="E28" s="62"/>
      <c r="F28" s="62"/>
      <c r="G28" s="62"/>
      <c r="H28" s="62"/>
      <c r="I28" s="62"/>
      <c r="J28" s="62"/>
      <c r="K28" s="62"/>
      <c r="L28" s="62"/>
    </row>
    <row r="29" spans="1:13" ht="15.75" x14ac:dyDescent="0.3">
      <c r="A29" s="60" t="s">
        <v>155</v>
      </c>
      <c r="B29" s="55">
        <v>25</v>
      </c>
      <c r="C29" s="62"/>
      <c r="D29" s="62"/>
      <c r="E29" s="62"/>
      <c r="F29" s="62"/>
      <c r="G29" s="62"/>
      <c r="H29" s="62"/>
      <c r="I29" s="62"/>
      <c r="J29" s="62"/>
      <c r="K29" s="62"/>
      <c r="L29" s="62"/>
    </row>
    <row r="30" spans="1:13" ht="15.75" x14ac:dyDescent="0.3">
      <c r="A30" s="60" t="s">
        <v>156</v>
      </c>
      <c r="B30" s="55">
        <f>B29+B27+B28+B26+B25</f>
        <v>33.229999999999997</v>
      </c>
      <c r="C30" s="62"/>
      <c r="D30" s="62"/>
      <c r="E30" s="62"/>
      <c r="F30" s="62"/>
      <c r="G30" s="62"/>
      <c r="H30" s="62"/>
      <c r="I30" s="62"/>
      <c r="J30" s="62"/>
      <c r="K30" s="62"/>
      <c r="L30" s="62"/>
    </row>
    <row r="31" spans="1:13" ht="15.75" x14ac:dyDescent="0.3">
      <c r="A31" s="60" t="s">
        <v>157</v>
      </c>
      <c r="B31" s="55">
        <v>53.23</v>
      </c>
      <c r="C31" s="62"/>
      <c r="D31" s="62"/>
      <c r="E31" s="62"/>
      <c r="F31" s="62"/>
      <c r="G31" s="62"/>
      <c r="H31" s="62"/>
      <c r="I31" s="62"/>
      <c r="J31" s="62"/>
      <c r="K31" s="62"/>
      <c r="L31" s="62"/>
    </row>
    <row r="32" spans="1:13" ht="15.75" x14ac:dyDescent="0.3">
      <c r="A32" s="60" t="s">
        <v>168</v>
      </c>
      <c r="B32" s="55">
        <f>B31-B30</f>
        <v>20</v>
      </c>
      <c r="C32" s="66" t="s">
        <v>171</v>
      </c>
      <c r="D32" s="67"/>
      <c r="E32" s="67"/>
      <c r="F32" s="62"/>
      <c r="G32" s="62"/>
      <c r="H32" s="62"/>
      <c r="I32" s="62"/>
      <c r="J32" s="62"/>
      <c r="K32" s="62"/>
      <c r="L32" s="62"/>
    </row>
  </sheetData>
  <mergeCells count="8">
    <mergeCell ref="C32:E32"/>
    <mergeCell ref="A9:J9"/>
    <mergeCell ref="K9:L9"/>
    <mergeCell ref="A24:B24"/>
    <mergeCell ref="A4:F4"/>
    <mergeCell ref="K4:L4"/>
    <mergeCell ref="G4:H4"/>
    <mergeCell ref="I4:J4"/>
  </mergeCells>
  <conditionalFormatting sqref="B32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3">
    <dataValidation type="decimal" allowBlank="1" showInputMessage="1" showErrorMessage="1" errorTitle="Invalid Input" error="You must enter a number for this cell." sqref="J5">
      <formula1>1</formula1>
      <formula2>99999999999999</formula2>
    </dataValidation>
    <dataValidation type="decimal" allowBlank="1" showInputMessage="1" showErrorMessage="1" errorTitle="Invalid input" error="You must enter a number for this cell." sqref="H5">
      <formula1>1</formula1>
      <formula2>9999999999</formula2>
    </dataValidation>
    <dataValidation type="decimal" showInputMessage="1" showErrorMessage="1" errorTitle="Invalid input" error="You must enter a number for this cell." sqref="G5:G7 C8 I8">
      <formula1>1</formula1>
      <formula2>9999999999999990000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59999389629810485"/>
  </sheetPr>
  <dimension ref="A1:U25"/>
  <sheetViews>
    <sheetView showGridLines="0" workbookViewId="0">
      <selection sqref="A1:T9"/>
    </sheetView>
  </sheetViews>
  <sheetFormatPr defaultRowHeight="15" x14ac:dyDescent="0.25"/>
  <cols>
    <col min="1" max="1" width="15.5703125" customWidth="1"/>
    <col min="2" max="2" width="11.85546875" customWidth="1"/>
    <col min="3" max="3" width="19" bestFit="1" customWidth="1"/>
    <col min="4" max="4" width="18.5703125" customWidth="1"/>
    <col min="5" max="5" width="16" bestFit="1" customWidth="1"/>
    <col min="6" max="6" width="14.140625" customWidth="1"/>
    <col min="7" max="7" width="16.140625" customWidth="1"/>
    <col min="8" max="8" width="16.5703125" customWidth="1"/>
    <col min="9" max="9" width="16.42578125" customWidth="1"/>
    <col min="10" max="10" width="11.28515625" customWidth="1"/>
    <col min="11" max="11" width="11" bestFit="1" customWidth="1"/>
    <col min="12" max="12" width="20.140625" customWidth="1"/>
    <col min="13" max="13" width="18.5703125" customWidth="1"/>
    <col min="14" max="14" width="17.42578125" bestFit="1" customWidth="1"/>
    <col min="15" max="15" width="13.42578125" customWidth="1"/>
    <col min="17" max="19" width="11.5703125" customWidth="1"/>
    <col min="20" max="20" width="10.7109375" bestFit="1" customWidth="1"/>
  </cols>
  <sheetData>
    <row r="1" spans="1:21" ht="15" customHeight="1" x14ac:dyDescent="0.25">
      <c r="A1" s="13" t="str">
        <f>Bookings!A4</f>
        <v>Booking ID</v>
      </c>
      <c r="B1" s="13" t="str">
        <f>Bookings!C4</f>
        <v>Title</v>
      </c>
      <c r="C1" s="13" t="str">
        <f>Bookings!D4</f>
        <v>First Name</v>
      </c>
      <c r="D1" s="13" t="str">
        <f>Bookings!E4</f>
        <v>Second Name</v>
      </c>
      <c r="E1" s="13" t="str">
        <f>Bookings!H4</f>
        <v>Address Line 1</v>
      </c>
      <c r="F1" s="13" t="str">
        <f>Bookings!I4</f>
        <v>Address Line 2</v>
      </c>
      <c r="G1" s="13" t="str">
        <f>Bookings!J4</f>
        <v>Address Line 3</v>
      </c>
      <c r="H1" s="13" t="str">
        <f>Bookings!K4</f>
        <v>Address Line 4</v>
      </c>
      <c r="I1" s="13" t="str">
        <f>Bookings!L4</f>
        <v>Address Line 5</v>
      </c>
      <c r="J1" s="13" t="str">
        <f>Rooms!B4</f>
        <v>Room Type</v>
      </c>
      <c r="K1" s="2" t="str">
        <f>Rooms!C4</f>
        <v>Room Price</v>
      </c>
      <c r="L1" s="13" t="s">
        <v>73</v>
      </c>
      <c r="M1" s="13" t="s">
        <v>74</v>
      </c>
      <c r="N1" s="13" t="s">
        <v>88</v>
      </c>
      <c r="O1" s="13" t="s">
        <v>89</v>
      </c>
      <c r="P1" s="13" t="s">
        <v>91</v>
      </c>
      <c r="Q1" s="13" t="s">
        <v>92</v>
      </c>
      <c r="R1" s="13" t="s">
        <v>119</v>
      </c>
      <c r="S1" s="13" t="s">
        <v>84</v>
      </c>
      <c r="T1" s="13" t="s">
        <v>93</v>
      </c>
      <c r="U1" s="1"/>
    </row>
    <row r="2" spans="1:21" x14ac:dyDescent="0.25">
      <c r="A2" s="13" t="str">
        <f>Bookings!A5</f>
        <v>BOOK_001</v>
      </c>
      <c r="B2" s="13" t="str">
        <f>Bookings!C5</f>
        <v>Ms</v>
      </c>
      <c r="C2" s="13" t="str">
        <f>Bookings!D5</f>
        <v>Samantha</v>
      </c>
      <c r="D2" s="13" t="str">
        <f>Bookings!E5</f>
        <v>Blair</v>
      </c>
      <c r="E2" s="13" t="str">
        <f>Bookings!H5</f>
        <v>85 Afghan Lane</v>
      </c>
      <c r="F2" s="13" t="str">
        <f>Bookings!I5</f>
        <v>London</v>
      </c>
      <c r="G2" s="13" t="str">
        <f>Bookings!J5</f>
        <v>Westminster</v>
      </c>
      <c r="H2" s="13" t="str">
        <f>Bookings!K5</f>
        <v>England</v>
      </c>
      <c r="I2" s="13" t="str">
        <f>Bookings!L5</f>
        <v>SY7 8EE</v>
      </c>
      <c r="J2" s="13" t="str">
        <f>Rooms!B5</f>
        <v>Twin</v>
      </c>
      <c r="K2" s="17">
        <f>Rooms!C5</f>
        <v>10</v>
      </c>
      <c r="L2" s="15">
        <f>Bookings!S5</f>
        <v>41596</v>
      </c>
      <c r="M2" s="15">
        <f>Bookings!T5</f>
        <v>41603</v>
      </c>
      <c r="N2" s="13" t="str">
        <f>CONCATENATE(Bookings!C5," ",Bookings!D5," ",Bookings!E5)</f>
        <v>Ms Samantha Blair</v>
      </c>
      <c r="O2" s="14" t="str">
        <f>Bookings!Y5</f>
        <v>£3.00</v>
      </c>
      <c r="P2" s="14" t="str">
        <f>Bookings!AA5</f>
        <v>£3.00</v>
      </c>
      <c r="Q2" s="14" t="str">
        <f>Bookings!AC5</f>
        <v>£1.50</v>
      </c>
      <c r="R2" s="14" t="str">
        <f>Bookings!W5</f>
        <v>£2.50</v>
      </c>
      <c r="S2" s="14">
        <f>Bookings!AE5</f>
        <v>80</v>
      </c>
      <c r="T2" s="16">
        <f ca="1">TODAY()</f>
        <v>41674</v>
      </c>
      <c r="U2" s="1"/>
    </row>
    <row r="3" spans="1:21" x14ac:dyDescent="0.25">
      <c r="A3" s="13" t="str">
        <f>Bookings!A6</f>
        <v>BOOK_002</v>
      </c>
      <c r="B3" s="13" t="str">
        <f>Bookings!C6</f>
        <v>Mrs</v>
      </c>
      <c r="C3" s="13" t="str">
        <f>Bookings!D6</f>
        <v>Paulina</v>
      </c>
      <c r="D3" s="13" t="str">
        <f>Bookings!E6</f>
        <v>Jebb</v>
      </c>
      <c r="E3" s="13" t="str">
        <f>Bookings!H6</f>
        <v>97 Salmon Street</v>
      </c>
      <c r="F3" s="13" t="str">
        <f>Bookings!I6</f>
        <v>Cheshire</v>
      </c>
      <c r="G3" s="13" t="str">
        <f>Bookings!J6</f>
        <v>Ingoo Plaza</v>
      </c>
      <c r="H3" s="13" t="str">
        <f>Bookings!K6</f>
        <v>England</v>
      </c>
      <c r="I3" s="13" t="str">
        <f>Bookings!L6</f>
        <v>SY7 8EE</v>
      </c>
      <c r="J3" s="13" t="str">
        <f>Rooms!B6</f>
        <v>Double</v>
      </c>
      <c r="K3" s="17">
        <f>Rooms!C6</f>
        <v>10</v>
      </c>
      <c r="L3" s="15">
        <f>Bookings!S6</f>
        <v>41491</v>
      </c>
      <c r="M3" s="15">
        <f>Bookings!T6</f>
        <v>41492</v>
      </c>
      <c r="N3" s="13" t="str">
        <f>CONCATENATE(Bookings!C6," ",Bookings!D6," ",Bookings!E6)</f>
        <v>Mrs Paulina Jebb</v>
      </c>
      <c r="O3" s="14" t="str">
        <f>Bookings!Y6</f>
        <v>£5.00</v>
      </c>
      <c r="P3" s="14" t="str">
        <f>Bookings!AA6</f>
        <v>£5.00</v>
      </c>
      <c r="Q3" s="14" t="str">
        <f>Bookings!AC6</f>
        <v>£1.50</v>
      </c>
      <c r="R3" s="14" t="str">
        <f>Bookings!W6</f>
        <v>£2.50</v>
      </c>
      <c r="S3" s="14">
        <f>Bookings!AE6</f>
        <v>24</v>
      </c>
      <c r="T3" s="16">
        <f ca="1">TODAY()</f>
        <v>41674</v>
      </c>
    </row>
    <row r="4" spans="1:21" x14ac:dyDescent="0.25">
      <c r="A4" s="13" t="str">
        <f>Bookings!A7</f>
        <v>BOOK_008</v>
      </c>
      <c r="B4" s="13" t="str">
        <f>Bookings!C7</f>
        <v>Doctor</v>
      </c>
      <c r="C4" s="13" t="str">
        <f>Bookings!D7</f>
        <v>Paul</v>
      </c>
      <c r="D4" s="13" t="str">
        <f>Bookings!E7</f>
        <v>Jacobs</v>
      </c>
      <c r="E4" s="13" t="str">
        <f>Bookings!H7</f>
        <v>32 Chip Avenue</v>
      </c>
      <c r="F4" s="13" t="str">
        <f>Bookings!I7</f>
        <v>London</v>
      </c>
      <c r="G4" s="13" t="str">
        <f>Bookings!J7</f>
        <v>Hampshire</v>
      </c>
      <c r="H4" s="13" t="str">
        <f>Bookings!K7</f>
        <v>England</v>
      </c>
      <c r="I4" s="13" t="str">
        <f>Bookings!L7</f>
        <v>SY7 8EE</v>
      </c>
      <c r="J4" s="13" t="str">
        <f>Rooms!B7</f>
        <v>Twin</v>
      </c>
      <c r="K4" s="17">
        <f>Rooms!C7</f>
        <v>10</v>
      </c>
      <c r="L4" s="15">
        <f>Bookings!S7</f>
        <v>41498</v>
      </c>
      <c r="M4" s="15">
        <f>Bookings!T7</f>
        <v>41500</v>
      </c>
      <c r="N4" s="13" t="str">
        <f>CONCATENATE(Bookings!C7," ",Bookings!D7," ",Bookings!E7)</f>
        <v>Doctor Paul Jacobs</v>
      </c>
      <c r="O4" s="14" t="str">
        <f>Bookings!Y7</f>
        <v>£3.00</v>
      </c>
      <c r="P4" s="14" t="str">
        <f>Bookings!AA7</f>
        <v>£10.00</v>
      </c>
      <c r="Q4" s="14" t="str">
        <f>Bookings!AC7</f>
        <v>£10.00</v>
      </c>
      <c r="R4" s="14" t="str">
        <f>Bookings!W7</f>
        <v>£2.50</v>
      </c>
      <c r="S4" s="14">
        <f>Bookings!AE7</f>
        <v>45.5</v>
      </c>
      <c r="T4" s="16">
        <f ca="1">TODAY()</f>
        <v>41674</v>
      </c>
    </row>
    <row r="5" spans="1:21" x14ac:dyDescent="0.25">
      <c r="A5" s="13" t="str">
        <f>Bookings!A8</f>
        <v>BOOK_003</v>
      </c>
      <c r="B5" s="13" t="str">
        <f>Bookings!C8</f>
        <v>Doctor</v>
      </c>
      <c r="C5" s="13" t="str">
        <f>Bookings!D8</f>
        <v>Paul</v>
      </c>
      <c r="D5" s="13" t="str">
        <f>Bookings!E8</f>
        <v>Jacobs</v>
      </c>
      <c r="E5" s="13" t="str">
        <f>Bookings!H8</f>
        <v>32 Chip Avenue</v>
      </c>
      <c r="F5" s="13" t="str">
        <f>Bookings!I8</f>
        <v>Birmingham</v>
      </c>
      <c r="G5" s="13" t="str">
        <f>Bookings!J8</f>
        <v>The Bullring</v>
      </c>
      <c r="H5" s="13" t="str">
        <f>Bookings!K8</f>
        <v>England</v>
      </c>
      <c r="I5" s="13" t="str">
        <f>Bookings!L8</f>
        <v>SY7 8EE</v>
      </c>
      <c r="J5" s="13" t="str">
        <f>Rooms!B8</f>
        <v>Double</v>
      </c>
      <c r="K5" s="17">
        <f>Rooms!C8</f>
        <v>10</v>
      </c>
      <c r="L5" s="15">
        <f>Bookings!S8</f>
        <v>41432</v>
      </c>
      <c r="M5" s="15">
        <f>Bookings!T8</f>
        <v>41463</v>
      </c>
      <c r="N5" s="13" t="str">
        <f>CONCATENATE(Bookings!C8," ",Bookings!D8," ",Bookings!E8)</f>
        <v>Doctor Paul Jacobs</v>
      </c>
      <c r="O5" s="14" t="str">
        <f>Bookings!Y8</f>
        <v>£10.00</v>
      </c>
      <c r="P5" s="14" t="str">
        <f>Bookings!AA8</f>
        <v>£5.00</v>
      </c>
      <c r="Q5" s="14" t="str">
        <f>Bookings!AC8</f>
        <v>£3.00</v>
      </c>
      <c r="R5" s="14" t="str">
        <f>Bookings!W8</f>
        <v>£0.00</v>
      </c>
      <c r="S5" s="14">
        <f>Bookings!AE8</f>
        <v>328</v>
      </c>
      <c r="T5" s="16">
        <f ca="1">TODAY()</f>
        <v>41674</v>
      </c>
    </row>
    <row r="6" spans="1:21" x14ac:dyDescent="0.25">
      <c r="A6" s="13" t="str">
        <f>Bookings!A9</f>
        <v>BOOK_006</v>
      </c>
      <c r="B6" s="13" t="str">
        <f>Bookings!C9</f>
        <v>Doctor</v>
      </c>
      <c r="C6" s="13" t="str">
        <f>Bookings!D9</f>
        <v>Paul</v>
      </c>
      <c r="D6" s="13" t="str">
        <f>Bookings!E9</f>
        <v>Jacobs</v>
      </c>
      <c r="E6" s="13" t="str">
        <f>Bookings!H9</f>
        <v>32 Chip Avenue</v>
      </c>
      <c r="F6" s="13" t="str">
        <f>Bookings!I9</f>
        <v>Birmingham</v>
      </c>
      <c r="G6" s="13" t="str">
        <f>Bookings!J9</f>
        <v>The Bullring</v>
      </c>
      <c r="H6" s="13" t="str">
        <f>Bookings!K9</f>
        <v>England</v>
      </c>
      <c r="I6" s="13" t="str">
        <f>Bookings!L9</f>
        <v>SY7 8EE</v>
      </c>
      <c r="J6" s="13" t="str">
        <f>Rooms!B9</f>
        <v>Twin</v>
      </c>
      <c r="K6" s="17">
        <f>Rooms!C9</f>
        <v>10</v>
      </c>
      <c r="L6" s="15">
        <f>Bookings!S9</f>
        <v>41435</v>
      </c>
      <c r="M6" s="15">
        <f>Bookings!T9</f>
        <v>41437</v>
      </c>
      <c r="N6" s="13" t="str">
        <f>CONCATENATE(Bookings!C9," ",Bookings!D9," ",Bookings!E9)</f>
        <v>Doctor Paul Jacobs</v>
      </c>
      <c r="O6" s="14" t="str">
        <f>Bookings!Y9</f>
        <v>£5.00</v>
      </c>
      <c r="P6" s="14" t="str">
        <f>Bookings!AA9</f>
        <v>£10.00</v>
      </c>
      <c r="Q6" s="14" t="str">
        <f>Bookings!AC9</f>
        <v>£3.00</v>
      </c>
      <c r="R6" s="14" t="str">
        <f>Bookings!W9</f>
        <v>£6.50</v>
      </c>
      <c r="S6" s="14">
        <f>Bookings!AE9</f>
        <v>44.5</v>
      </c>
      <c r="T6" s="16">
        <f ca="1">TODAY()</f>
        <v>41674</v>
      </c>
    </row>
    <row r="7" spans="1:21" x14ac:dyDescent="0.25">
      <c r="A7" s="13" t="str">
        <f>Bookings!A10</f>
        <v>BOOK_004</v>
      </c>
      <c r="B7" s="13" t="str">
        <f>Bookings!C10</f>
        <v>Lord</v>
      </c>
      <c r="C7" s="13" t="str">
        <f>Bookings!D10</f>
        <v>Alan</v>
      </c>
      <c r="D7" s="13" t="str">
        <f>Bookings!E10</f>
        <v>Sugar</v>
      </c>
      <c r="E7" s="13" t="str">
        <f>Bookings!H10</f>
        <v>12 Youview Lane</v>
      </c>
      <c r="F7" s="13" t="str">
        <f>Bookings!I10</f>
        <v>London</v>
      </c>
      <c r="G7" s="13" t="str">
        <f>Bookings!J10</f>
        <v>Hampshire</v>
      </c>
      <c r="H7" s="13" t="str">
        <f>Bookings!K10</f>
        <v>England</v>
      </c>
      <c r="I7" s="13" t="str">
        <f>Bookings!L10</f>
        <v>SY7 8EE</v>
      </c>
      <c r="J7" s="13" t="str">
        <f>Rooms!B10</f>
        <v>Double</v>
      </c>
      <c r="K7" s="17">
        <f>Rooms!C10</f>
        <v>10</v>
      </c>
      <c r="L7" s="15">
        <f>Bookings!S10</f>
        <v>41634</v>
      </c>
      <c r="M7" s="15">
        <f>Bookings!T10</f>
        <v>41640</v>
      </c>
      <c r="N7" s="13" t="str">
        <f>CONCATENATE(Bookings!C10," ",Bookings!D10," ",Bookings!E10)</f>
        <v>Lord Alan Sugar</v>
      </c>
      <c r="O7" s="14" t="str">
        <f>Bookings!Y10</f>
        <v>£10.00</v>
      </c>
      <c r="P7" s="14" t="str">
        <f>Bookings!AA10</f>
        <v>£4.50</v>
      </c>
      <c r="Q7" s="14" t="str">
        <f>Bookings!AC10</f>
        <v>£10.00</v>
      </c>
      <c r="R7" s="14" t="str">
        <f>Bookings!W10</f>
        <v>£5.00</v>
      </c>
      <c r="S7" s="14">
        <f>Bookings!AE10</f>
        <v>89.5</v>
      </c>
      <c r="T7" s="16">
        <f ca="1">TODAY()</f>
        <v>41674</v>
      </c>
    </row>
    <row r="8" spans="1:21" x14ac:dyDescent="0.25">
      <c r="A8" s="13" t="str">
        <f>Bookings!A11</f>
        <v>BOOK_005</v>
      </c>
      <c r="B8" s="13" t="str">
        <f>Bookings!C11</f>
        <v>Doctor</v>
      </c>
      <c r="C8" s="13" t="str">
        <f>Bookings!D11</f>
        <v>Tony</v>
      </c>
      <c r="D8" s="13" t="str">
        <f>Bookings!E11</f>
        <v>Blair</v>
      </c>
      <c r="E8" s="13" t="str">
        <f>Bookings!H11</f>
        <v>Hampshire Row</v>
      </c>
      <c r="F8" s="13" t="str">
        <f>Bookings!I11</f>
        <v>Reading</v>
      </c>
      <c r="G8" s="13" t="str">
        <f>Bookings!J11</f>
        <v xml:space="preserve"> Train Station</v>
      </c>
      <c r="H8" s="13" t="str">
        <f>Bookings!K11</f>
        <v>England</v>
      </c>
      <c r="I8" s="13" t="str">
        <f>Bookings!L11</f>
        <v>SY7 8EE</v>
      </c>
      <c r="J8" s="13" t="str">
        <f>Rooms!B11</f>
        <v>Twin</v>
      </c>
      <c r="K8" s="17">
        <f>Rooms!C11</f>
        <v>10</v>
      </c>
      <c r="L8" s="15">
        <f>Bookings!S11</f>
        <v>41363</v>
      </c>
      <c r="M8" s="15">
        <f>Bookings!T11</f>
        <v>41374</v>
      </c>
      <c r="N8" s="13" t="str">
        <f>CONCATENATE(Bookings!C11," ",Bookings!D11," ",Bookings!E11)</f>
        <v>Doctor Tony Blair</v>
      </c>
      <c r="O8" s="14" t="str">
        <f>Bookings!Y11</f>
        <v>£5.00</v>
      </c>
      <c r="P8" s="14" t="str">
        <f>Bookings!AA11</f>
        <v>£3.00</v>
      </c>
      <c r="Q8" s="14" t="str">
        <f>Bookings!AC11</f>
        <v>£10.00</v>
      </c>
      <c r="R8" s="14" t="str">
        <f>Bookings!W11</f>
        <v>£5.00</v>
      </c>
      <c r="S8" s="14">
        <f>Bookings!AE11</f>
        <v>133</v>
      </c>
      <c r="T8" s="16">
        <f ca="1">TODAY()</f>
        <v>41674</v>
      </c>
    </row>
    <row r="9" spans="1:21" x14ac:dyDescent="0.25">
      <c r="A9" s="13" t="str">
        <f>Bookings!A12</f>
        <v>BOOK_007</v>
      </c>
      <c r="B9" s="13" t="str">
        <f>Bookings!C12</f>
        <v>Doctor</v>
      </c>
      <c r="C9" s="13" t="str">
        <f>Bookings!D12</f>
        <v>Paul</v>
      </c>
      <c r="D9" s="13" t="str">
        <f>Bookings!E12</f>
        <v>Jacobs</v>
      </c>
      <c r="E9" s="13" t="str">
        <f>Bookings!H12</f>
        <v>32 Chip Avenue</v>
      </c>
      <c r="F9" s="13" t="str">
        <f>Bookings!I12</f>
        <v>London</v>
      </c>
      <c r="G9" s="13" t="str">
        <f>Bookings!J12</f>
        <v>Hampshire</v>
      </c>
      <c r="H9" s="13" t="str">
        <f>Bookings!K12</f>
        <v>England</v>
      </c>
      <c r="I9" s="13" t="str">
        <f>Bookings!L12</f>
        <v>SY7 8EE</v>
      </c>
      <c r="J9" s="13" t="str">
        <f>Rooms!B12</f>
        <v>Double</v>
      </c>
      <c r="K9" s="17">
        <f>Rooms!C12</f>
        <v>10</v>
      </c>
      <c r="L9" s="15">
        <f>Bookings!S12</f>
        <v>41441</v>
      </c>
      <c r="M9" s="15">
        <f>Bookings!T12</f>
        <v>41446</v>
      </c>
      <c r="N9" s="13" t="str">
        <f>CONCATENATE(Bookings!C12," ",Bookings!D12," ",Bookings!E12)</f>
        <v>Doctor Paul Jacobs</v>
      </c>
      <c r="O9" s="14" t="str">
        <f>Bookings!Y12</f>
        <v>£10.00</v>
      </c>
      <c r="P9" s="14" t="str">
        <f>Bookings!AA12</f>
        <v>£5.00</v>
      </c>
      <c r="Q9" s="14" t="str">
        <f>Bookings!AC12</f>
        <v>£1.50</v>
      </c>
      <c r="R9" s="14" t="str">
        <f>Bookings!W12</f>
        <v>£2.50</v>
      </c>
      <c r="S9" s="14">
        <f>Bookings!AE12</f>
        <v>69</v>
      </c>
      <c r="T9" s="16">
        <f ca="1">TODAY()</f>
        <v>41674</v>
      </c>
    </row>
    <row r="10" spans="1:21" x14ac:dyDescent="0.25">
      <c r="A10" s="6"/>
      <c r="B10" s="6"/>
      <c r="C10" s="6"/>
      <c r="D10" s="5"/>
      <c r="E10" s="5"/>
      <c r="F10" s="5"/>
      <c r="G10" s="5"/>
      <c r="H10" s="5"/>
      <c r="I10" s="5"/>
      <c r="J10" s="6"/>
      <c r="K10" s="3"/>
      <c r="L10" s="3"/>
      <c r="M10" s="3"/>
      <c r="N10" s="3"/>
      <c r="O10" s="3"/>
      <c r="P10" s="11"/>
    </row>
    <row r="11" spans="1:21" x14ac:dyDescent="0.25">
      <c r="A11" s="6"/>
      <c r="B11" s="6"/>
      <c r="C11" s="6"/>
      <c r="D11" s="5"/>
      <c r="E11" s="5"/>
      <c r="F11" s="5"/>
      <c r="G11" s="5"/>
      <c r="H11" s="5"/>
      <c r="I11" s="5"/>
      <c r="J11" s="6"/>
      <c r="K11" s="3"/>
      <c r="L11" s="3"/>
      <c r="M11" s="3"/>
      <c r="N11" s="3"/>
      <c r="O11" s="3"/>
      <c r="P11" s="3"/>
    </row>
    <row r="12" spans="1:21" x14ac:dyDescent="0.25">
      <c r="A12" s="6"/>
      <c r="B12" s="6"/>
      <c r="C12" s="6"/>
      <c r="D12" s="5"/>
      <c r="E12" s="5"/>
      <c r="F12" s="5"/>
      <c r="G12" s="5"/>
      <c r="H12" s="5"/>
      <c r="I12" s="5"/>
      <c r="J12" s="6"/>
      <c r="K12" s="3"/>
      <c r="L12" s="3"/>
      <c r="M12" s="3"/>
      <c r="N12" s="3"/>
      <c r="O12" s="3"/>
      <c r="P12" s="3"/>
    </row>
    <row r="13" spans="1:21" x14ac:dyDescent="0.25">
      <c r="A13" s="6"/>
      <c r="B13" s="6"/>
      <c r="C13" s="6"/>
      <c r="D13" s="5"/>
      <c r="E13" s="5"/>
      <c r="F13" s="5"/>
      <c r="G13" s="5"/>
      <c r="H13" s="5"/>
      <c r="I13" s="5"/>
      <c r="J13" s="6"/>
      <c r="K13" s="3"/>
      <c r="L13" s="3"/>
      <c r="M13" s="3"/>
      <c r="N13" s="3"/>
      <c r="O13" s="3"/>
      <c r="P13" s="3"/>
    </row>
    <row r="14" spans="1:21" x14ac:dyDescent="0.25">
      <c r="A14" s="6"/>
      <c r="B14" s="6"/>
      <c r="C14" s="6"/>
      <c r="D14" s="5"/>
      <c r="E14" s="5"/>
      <c r="F14" s="5"/>
      <c r="G14" s="5"/>
      <c r="H14" s="5"/>
      <c r="I14" s="5"/>
      <c r="J14" s="6"/>
      <c r="K14" s="3"/>
      <c r="L14" s="3"/>
      <c r="M14" s="3"/>
      <c r="N14" s="3"/>
      <c r="O14" s="3"/>
      <c r="P14" s="3"/>
    </row>
    <row r="15" spans="1:21" x14ac:dyDescent="0.25">
      <c r="A15" s="6"/>
      <c r="B15" s="6"/>
      <c r="C15" s="6"/>
      <c r="D15" s="5"/>
      <c r="E15" s="5"/>
      <c r="F15" s="5"/>
      <c r="G15" s="5"/>
      <c r="H15" s="5"/>
      <c r="I15" s="5"/>
      <c r="J15" s="6"/>
      <c r="K15" s="3"/>
      <c r="L15" s="3"/>
      <c r="M15" s="3"/>
      <c r="N15" s="3"/>
      <c r="O15" s="3"/>
      <c r="P15" s="3"/>
    </row>
    <row r="16" spans="1:21" x14ac:dyDescent="0.25">
      <c r="A16" s="6"/>
      <c r="B16" s="6"/>
      <c r="C16" s="6"/>
      <c r="D16" s="5"/>
      <c r="E16" s="5"/>
      <c r="F16" s="5"/>
      <c r="G16" s="5"/>
      <c r="H16" s="5"/>
      <c r="I16" s="5"/>
      <c r="J16" s="6"/>
      <c r="K16" s="3"/>
      <c r="L16" s="3"/>
      <c r="M16" s="3"/>
      <c r="N16" s="3"/>
      <c r="O16" s="3"/>
      <c r="P16" s="3"/>
    </row>
    <row r="17" spans="1:16" x14ac:dyDescent="0.25">
      <c r="A17" s="6"/>
      <c r="B17" s="6"/>
      <c r="C17" s="6"/>
      <c r="D17" s="5"/>
      <c r="E17" s="5"/>
      <c r="F17" s="5"/>
      <c r="G17" s="5"/>
      <c r="H17" s="5"/>
      <c r="I17" s="5"/>
      <c r="J17" s="6"/>
      <c r="K17" s="3"/>
      <c r="L17" s="3"/>
      <c r="M17" s="3"/>
      <c r="N17" s="3"/>
      <c r="O17" s="3"/>
      <c r="P17" s="3"/>
    </row>
    <row r="18" spans="1:16" x14ac:dyDescent="0.25">
      <c r="A18" s="3"/>
      <c r="E18" s="5"/>
      <c r="G18" s="4"/>
    </row>
    <row r="19" spans="1:16" x14ac:dyDescent="0.25">
      <c r="A19" s="3"/>
      <c r="E19" s="5"/>
    </row>
    <row r="20" spans="1:16" x14ac:dyDescent="0.25">
      <c r="A20" s="3"/>
      <c r="E20" s="5"/>
    </row>
    <row r="21" spans="1:16" x14ac:dyDescent="0.25">
      <c r="A21" s="3"/>
      <c r="E21" s="5"/>
    </row>
    <row r="22" spans="1:16" x14ac:dyDescent="0.25">
      <c r="A22" s="3"/>
      <c r="E22" s="5"/>
    </row>
    <row r="23" spans="1:16" x14ac:dyDescent="0.25">
      <c r="A23" s="3"/>
    </row>
    <row r="24" spans="1:16" x14ac:dyDescent="0.25">
      <c r="A24" s="3"/>
    </row>
    <row r="25" spans="1:16" x14ac:dyDescent="0.25">
      <c r="A25" s="3"/>
    </row>
  </sheetData>
  <sortState ref="A2:T9">
    <sortCondition ref="A2:A9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Home</vt:lpstr>
      <vt:lpstr>Customers</vt:lpstr>
      <vt:lpstr>Bookings</vt:lpstr>
      <vt:lpstr>Rooms</vt:lpstr>
      <vt:lpstr>Expenditure</vt:lpstr>
      <vt:lpstr>Invoice</vt:lpstr>
      <vt:lpstr>Expenditure!Print_Area</vt:lpstr>
    </vt:vector>
  </TitlesOfParts>
  <Company>The Priory School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Roberts</dc:creator>
  <cp:lastModifiedBy>The Priory School</cp:lastModifiedBy>
  <cp:lastPrinted>2014-02-04T09:40:23Z</cp:lastPrinted>
  <dcterms:created xsi:type="dcterms:W3CDTF">2013-04-15T11:09:15Z</dcterms:created>
  <dcterms:modified xsi:type="dcterms:W3CDTF">2014-02-04T09:40:24Z</dcterms:modified>
</cp:coreProperties>
</file>