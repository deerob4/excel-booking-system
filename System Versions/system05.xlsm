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8195" windowHeight="11820" tabRatio="801" activeTab="2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Monthly Calculations" sheetId="9" r:id="rId5"/>
    <sheet name="Invoice" sheetId="10" r:id="rId6"/>
    <sheet name="p" sheetId="11" r:id="rId7"/>
    <sheet name="Sheet1" sheetId="12" r:id="rId8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N5" i="10" l="1"/>
  <c r="N6" i="10"/>
  <c r="N9" i="10"/>
  <c r="M3" i="10"/>
  <c r="M4" i="10"/>
  <c r="M5" i="10"/>
  <c r="M6" i="10"/>
  <c r="M7" i="10"/>
  <c r="M8" i="10"/>
  <c r="M9" i="10"/>
  <c r="M2" i="10"/>
  <c r="T5" i="7"/>
  <c r="N3" i="10" s="1"/>
  <c r="T6" i="7"/>
  <c r="N4" i="10" s="1"/>
  <c r="T7" i="7"/>
  <c r="T8" i="7"/>
  <c r="T9" i="7"/>
  <c r="N7" i="10" s="1"/>
  <c r="T10" i="7"/>
  <c r="N8" i="10" s="1"/>
  <c r="T11" i="7"/>
  <c r="T4" i="7"/>
  <c r="N2" i="10" s="1"/>
  <c r="K1" i="10"/>
  <c r="K3" i="10"/>
  <c r="K4" i="10"/>
  <c r="K5" i="10"/>
  <c r="K6" i="10"/>
  <c r="K7" i="10"/>
  <c r="K8" i="10"/>
  <c r="K9" i="10"/>
  <c r="K2" i="10"/>
  <c r="J2" i="10"/>
  <c r="J3" i="10"/>
  <c r="J4" i="10"/>
  <c r="J5" i="10"/>
  <c r="J6" i="10"/>
  <c r="J7" i="10"/>
  <c r="J8" i="10"/>
  <c r="J9" i="10"/>
  <c r="J1" i="10"/>
  <c r="I2" i="10"/>
  <c r="I3" i="10"/>
  <c r="I4" i="10"/>
  <c r="I5" i="10"/>
  <c r="I6" i="10"/>
  <c r="I7" i="10"/>
  <c r="I8" i="10"/>
  <c r="I9" i="10"/>
  <c r="H2" i="10"/>
  <c r="H3" i="10"/>
  <c r="H4" i="10"/>
  <c r="H5" i="10"/>
  <c r="H6" i="10"/>
  <c r="H7" i="10"/>
  <c r="H8" i="10"/>
  <c r="H9" i="10"/>
  <c r="G2" i="10"/>
  <c r="G3" i="10"/>
  <c r="G4" i="10"/>
  <c r="G5" i="10"/>
  <c r="G6" i="10"/>
  <c r="G7" i="10"/>
  <c r="G8" i="10"/>
  <c r="G9" i="10"/>
  <c r="F2" i="10"/>
  <c r="F3" i="10"/>
  <c r="F4" i="10"/>
  <c r="F5" i="10"/>
  <c r="F6" i="10"/>
  <c r="F7" i="10"/>
  <c r="F8" i="10"/>
  <c r="F9" i="10"/>
  <c r="E2" i="10"/>
  <c r="E3" i="10"/>
  <c r="E4" i="10"/>
  <c r="E5" i="10"/>
  <c r="E6" i="10"/>
  <c r="E7" i="10"/>
  <c r="E8" i="10"/>
  <c r="E9" i="10"/>
  <c r="H1" i="10"/>
  <c r="F1" i="10"/>
  <c r="G1" i="10"/>
  <c r="I1" i="10"/>
  <c r="E1" i="10"/>
  <c r="D2" i="10"/>
  <c r="D3" i="10"/>
  <c r="D4" i="10"/>
  <c r="D5" i="10"/>
  <c r="D6" i="10"/>
  <c r="D7" i="10"/>
  <c r="D8" i="10"/>
  <c r="D9" i="10"/>
  <c r="D1" i="10"/>
  <c r="C2" i="10"/>
  <c r="C3" i="10"/>
  <c r="C4" i="10"/>
  <c r="C5" i="10"/>
  <c r="C6" i="10"/>
  <c r="C7" i="10"/>
  <c r="C8" i="10"/>
  <c r="C9" i="10"/>
  <c r="C1" i="10"/>
  <c r="B2" i="10"/>
  <c r="B3" i="10"/>
  <c r="B4" i="10"/>
  <c r="B5" i="10"/>
  <c r="B6" i="10"/>
  <c r="B7" i="10"/>
  <c r="B8" i="10"/>
  <c r="B9" i="10"/>
  <c r="B1" i="10"/>
  <c r="A2" i="10"/>
  <c r="A3" i="10"/>
  <c r="A4" i="10"/>
  <c r="A5" i="10"/>
  <c r="A6" i="10"/>
  <c r="A7" i="10"/>
  <c r="A8" i="10"/>
  <c r="A9" i="10"/>
  <c r="A1" i="10"/>
  <c r="A1" i="12" l="1"/>
  <c r="Y4" i="7" l="1"/>
  <c r="Y5" i="7"/>
  <c r="Y6" i="7"/>
  <c r="Y7" i="7"/>
  <c r="Y8" i="7"/>
  <c r="Y9" i="7"/>
  <c r="Y10" i="7"/>
  <c r="Y11" i="7"/>
  <c r="W5" i="7"/>
  <c r="W6" i="7"/>
  <c r="W7" i="7"/>
  <c r="W8" i="7"/>
  <c r="W9" i="7"/>
  <c r="W10" i="7"/>
  <c r="W11" i="7"/>
  <c r="W4" i="7"/>
  <c r="U5" i="7" l="1"/>
  <c r="U4" i="7" l="1"/>
  <c r="S22" i="7" s="1"/>
  <c r="U6" i="7" l="1"/>
  <c r="U7" i="7"/>
  <c r="U8" i="7"/>
  <c r="U9" i="7"/>
  <c r="U10" i="7"/>
  <c r="U11" i="7"/>
  <c r="Q5" i="7"/>
  <c r="Q6" i="7"/>
  <c r="Q7" i="7"/>
  <c r="Q8" i="7"/>
  <c r="Q9" i="7"/>
  <c r="Q10" i="7"/>
  <c r="Q11" i="7"/>
  <c r="Q4" i="7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O6" i="7"/>
  <c r="O7" i="7"/>
  <c r="O8" i="7"/>
  <c r="O9" i="7"/>
  <c r="O10" i="7"/>
  <c r="O11" i="7"/>
  <c r="O4" i="7"/>
  <c r="L5" i="7"/>
  <c r="L6" i="7"/>
  <c r="L7" i="7"/>
  <c r="L8" i="7"/>
  <c r="L9" i="7"/>
  <c r="L10" i="7"/>
  <c r="L11" i="7"/>
  <c r="L4" i="7"/>
  <c r="K5" i="7"/>
  <c r="K6" i="7"/>
  <c r="K7" i="7"/>
  <c r="K8" i="7"/>
  <c r="K9" i="7"/>
  <c r="K10" i="7"/>
  <c r="K11" i="7"/>
  <c r="K4" i="7"/>
  <c r="J5" i="7"/>
  <c r="J6" i="7"/>
  <c r="J7" i="7"/>
  <c r="J8" i="7"/>
  <c r="J9" i="7"/>
  <c r="J10" i="7"/>
  <c r="J11" i="7"/>
  <c r="J4" i="7"/>
  <c r="I5" i="7"/>
  <c r="I6" i="7"/>
  <c r="I7" i="7"/>
  <c r="I8" i="7"/>
  <c r="I9" i="7"/>
  <c r="I10" i="7"/>
  <c r="I11" i="7"/>
  <c r="I4" i="7"/>
  <c r="H5" i="7"/>
  <c r="H6" i="7"/>
  <c r="H7" i="7"/>
  <c r="H8" i="7"/>
  <c r="H9" i="7"/>
  <c r="H10" i="7"/>
  <c r="H11" i="7"/>
  <c r="H4" i="7"/>
  <c r="G5" i="7"/>
  <c r="G6" i="7"/>
  <c r="G7" i="7"/>
  <c r="G8" i="7"/>
  <c r="G9" i="7"/>
  <c r="G10" i="7"/>
  <c r="G11" i="7"/>
  <c r="G4" i="7"/>
  <c r="F5" i="7"/>
  <c r="F6" i="7"/>
  <c r="F7" i="7"/>
  <c r="F8" i="7"/>
  <c r="F9" i="7"/>
  <c r="F10" i="7"/>
  <c r="F11" i="7"/>
  <c r="F4" i="7"/>
  <c r="E5" i="7"/>
  <c r="E6" i="7"/>
  <c r="E7" i="7"/>
  <c r="E8" i="7"/>
  <c r="E9" i="7"/>
  <c r="E10" i="7"/>
  <c r="E11" i="7"/>
  <c r="E4" i="7"/>
  <c r="D5" i="7"/>
  <c r="D6" i="7"/>
  <c r="D7" i="7"/>
  <c r="D8" i="7"/>
  <c r="D9" i="7"/>
  <c r="D10" i="7"/>
  <c r="D11" i="7"/>
  <c r="D4" i="7"/>
  <c r="C4" i="7"/>
  <c r="C5" i="7"/>
  <c r="C6" i="7"/>
  <c r="C7" i="7"/>
  <c r="C8" i="7"/>
  <c r="C9" i="7"/>
  <c r="C10" i="7"/>
  <c r="C11" i="7"/>
  <c r="P3" i="7" l="1"/>
  <c r="O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<sst xmlns="http://schemas.openxmlformats.org/spreadsheetml/2006/main" count="169" uniqueCount="87">
  <si>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</si>
  <si>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</si>
  <si>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</si>
  <si>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</si>
  <si>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</si>
  <si>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</si>
  <si>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</si>
  <si>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</si>
  <si>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</si>
  <si>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</si>
  <si>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</si>
  <si>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</si>
  <si>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</si>
  <si>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</si>
  <si>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</si>
  <si>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</si>
  <si>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</si>
  <si>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</si>
  <si>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</si>
  <si>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</si>
  <si>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</si>
  <si>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</si>
  <si>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</si>
  <si>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</si>
  <si>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</si>
  <si>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</si>
  <si>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</si>
  <si>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</si>
  <si>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</si>
  <si>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</si>
  <si>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</si>
  <si>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</si>
  <si>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</si>
  <si>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</si>
  <si>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</si>
  <si>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</si>
  <si>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</si>
  <si>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</si>
  <si>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</si>
  <si>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</si>
  <si>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</si>
  <si>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</si>
  <si>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</si>
  <si>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</si>
  <si>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</si>
  <si>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</si>
  <si>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</si>
  <si>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</si>
  <si>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</si>
  <si>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</si>
  <si>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</si>
  <si>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</si>
  <si>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</si>
  <si>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</si>
  <si>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</si>
  <si>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</si>
  <si>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</si>
  <si>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</si>
  <si>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</si>
  <si>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</si>
  <si>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</si>
  <si>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</si>
  <si>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</si>
  <si>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</si>
  <si>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</si>
  <si>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</si>
  <si>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</si>
  <si>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</si>
  <si>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</si>
  <si>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</si>
  <si>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</si>
  <si>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</si>
  <si>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</si>
  <si>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</si>
  <si>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</si>
  <si>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</si>
  <si>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</si>
  <si>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</si>
  <si>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</si>
  <si>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</si>
  <si>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</si>
  <si>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</si>
  <si>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</si>
  <si>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</si>
  <si>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</si>
  <si>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Evening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</si>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</sst>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£&quot;#,##0;[Red]\-&quot;£&quot;#,##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2" fillId="0" borderId="1" xfId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4" borderId="3" xfId="0" applyFill="1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6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Calcualtions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2</xdr:row>
      <xdr:rowOff>57150</xdr:rowOff>
    </xdr:from>
    <xdr:to>
      <xdr:col>3</xdr:col>
      <xdr:colOff>114300</xdr:colOff>
      <xdr:row>6</xdr:row>
      <xdr:rowOff>85724</xdr:rowOff>
    </xdr:to>
    <xdr:sp macro="[0]!custInf" textlink="">
      <xdr:nvSpPr>
        <xdr:cNvPr id="4" name="Rectangle 3"/>
        <xdr:cNvSpPr/>
      </xdr:nvSpPr>
      <xdr:spPr>
        <a:xfrm>
          <a:off x="0" y="142875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63070</xdr:colOff>
      <xdr:row>2</xdr:row>
      <xdr:rowOff>47625</xdr:rowOff>
    </xdr:from>
    <xdr:to>
      <xdr:col>19</xdr:col>
      <xdr:colOff>9523</xdr:colOff>
      <xdr:row>6</xdr:row>
      <xdr:rowOff>76199</xdr:rowOff>
    </xdr:to>
    <xdr:sp macro="[0]!invoices" textlink="">
      <xdr:nvSpPr>
        <xdr:cNvPr id="5" name="Rectangle 4"/>
        <xdr:cNvSpPr/>
      </xdr:nvSpPr>
      <xdr:spPr>
        <a:xfrm>
          <a:off x="9207070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2</xdr:row>
      <xdr:rowOff>47625</xdr:rowOff>
    </xdr:from>
    <xdr:to>
      <xdr:col>15</xdr:col>
      <xdr:colOff>38098</xdr:colOff>
      <xdr:row>6</xdr:row>
      <xdr:rowOff>76199</xdr:rowOff>
    </xdr:to>
    <xdr:sp macro="[0]!monthCalc" textlink="">
      <xdr:nvSpPr>
        <xdr:cNvPr id="6" name="Rectangle 5"/>
        <xdr:cNvSpPr/>
      </xdr:nvSpPr>
      <xdr:spPr>
        <a:xfrm>
          <a:off x="6797245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139270</xdr:colOff>
      <xdr:row>2</xdr:row>
      <xdr:rowOff>57150</xdr:rowOff>
    </xdr:from>
    <xdr:to>
      <xdr:col>7</xdr:col>
      <xdr:colOff>85723</xdr:colOff>
      <xdr:row>6</xdr:row>
      <xdr:rowOff>85724</xdr:rowOff>
    </xdr:to>
    <xdr:sp macro="[0]!roomInf" textlink="">
      <xdr:nvSpPr>
        <xdr:cNvPr id="7" name="Rectangle 6"/>
        <xdr:cNvSpPr/>
      </xdr:nvSpPr>
      <xdr:spPr>
        <a:xfrm>
          <a:off x="1968070" y="14287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123182</xdr:colOff>
      <xdr:row>2</xdr:row>
      <xdr:rowOff>47625</xdr:rowOff>
    </xdr:from>
    <xdr:to>
      <xdr:col>11</xdr:col>
      <xdr:colOff>57149</xdr:colOff>
      <xdr:row>6</xdr:row>
      <xdr:rowOff>76199</xdr:rowOff>
    </xdr:to>
    <xdr:sp macro="[0]!bookInf" textlink="">
      <xdr:nvSpPr>
        <xdr:cNvPr id="8" name="Rectangle 7"/>
        <xdr:cNvSpPr/>
      </xdr:nvSpPr>
      <xdr:spPr>
        <a:xfrm>
          <a:off x="4390382" y="141922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orkbookViewId="0">
      <selection activeCell="D30" sqref="D30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topLeftCell="D1" workbookViewId="0">
      <selection activeCell="G33" sqref="G33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6" t="s">
        <v>0</v>
      </c>
      <c r="B3" s="6" t="s">
        <v>1</v>
      </c>
      <c r="C3" s="6" t="s">
        <v>2</v>
      </c>
      <c r="D3" s="6" t="s">
        <v>3</v>
      </c>
      <c r="E3" s="6" t="s">
        <v>41</v>
      </c>
      <c r="F3" s="6" t="s">
        <v>42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V3" s="15" t="s">
        <v>78</v>
      </c>
    </row>
    <row r="4" spans="1:23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  <c r="V4" s="13"/>
    </row>
    <row r="5" spans="1:23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  <c r="V5" s="13"/>
    </row>
    <row r="6" spans="1:23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  <c r="V6" s="13"/>
    </row>
    <row r="7" spans="1:23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  <c r="V7" s="13"/>
    </row>
    <row r="8" spans="1:23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  <c r="V8" s="13"/>
    </row>
    <row r="9" spans="1:23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  <c r="V9" s="13"/>
    </row>
    <row r="10" spans="1:23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  <c r="V10" s="14"/>
    </row>
    <row r="11" spans="1:23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  <c r="V11" s="14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Y22"/>
  <sheetViews>
    <sheetView tabSelected="1" topLeftCell="P1" zoomScaleNormal="100" workbookViewId="0">
      <selection activeCell="V11" sqref="V11:V12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2.7109375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2" width="18.28515625" bestFit="1" customWidth="1"/>
    <col min="23" max="23" width="18.28515625" customWidth="1"/>
    <col min="24" max="24" width="15.85546875" customWidth="1"/>
    <col min="25" max="25" width="17" bestFit="1" customWidth="1"/>
  </cols>
  <sheetData>
    <row r="1" spans="1:25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3"/>
      <c r="W1" s="3"/>
      <c r="X1" s="3"/>
    </row>
    <row r="2" spans="1:2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"/>
      <c r="W2" s="3"/>
      <c r="X2" s="3"/>
    </row>
    <row r="3" spans="1:25" x14ac:dyDescent="0.25">
      <c r="A3" s="4" t="s">
        <v>72</v>
      </c>
      <c r="B3" s="4" t="s">
        <v>0</v>
      </c>
      <c r="C3" s="10" t="s">
        <v>1</v>
      </c>
      <c r="D3" s="10" t="s">
        <v>2</v>
      </c>
      <c r="E3" s="10" t="s">
        <v>3</v>
      </c>
      <c r="F3" s="10" t="s">
        <v>41</v>
      </c>
      <c r="G3" s="10" t="s">
        <v>42</v>
      </c>
      <c r="H3" s="10" t="s">
        <v>4</v>
      </c>
      <c r="I3" s="10" t="s">
        <v>5</v>
      </c>
      <c r="J3" s="10" t="s">
        <v>6</v>
      </c>
      <c r="K3" s="10" t="s">
        <v>7</v>
      </c>
      <c r="L3" s="10" t="s">
        <v>8</v>
      </c>
      <c r="M3" s="4" t="str">
        <f>'Room Information'!A3</f>
        <v>Room ID</v>
      </c>
      <c r="N3" s="4" t="s">
        <v>67</v>
      </c>
      <c r="O3" s="4" t="str">
        <f>'Room Information'!C3</f>
        <v>Room Price</v>
      </c>
      <c r="P3" s="4" t="str">
        <f>'Room Information'!D3</f>
        <v>Room Availability</v>
      </c>
      <c r="Q3" s="4" t="s">
        <v>76</v>
      </c>
      <c r="R3" s="4" t="s">
        <v>77</v>
      </c>
      <c r="S3" s="4" t="s">
        <v>73</v>
      </c>
      <c r="T3" s="4" t="s">
        <v>74</v>
      </c>
      <c r="U3" s="4" t="s">
        <v>75</v>
      </c>
      <c r="V3" s="10" t="s">
        <v>79</v>
      </c>
      <c r="W3" s="10"/>
      <c r="X3" s="10" t="s">
        <v>80</v>
      </c>
      <c r="Y3" s="10" t="s">
        <v>81</v>
      </c>
    </row>
    <row r="4" spans="1:25" x14ac:dyDescent="0.25">
      <c r="A4" s="4"/>
      <c r="B4" s="4" t="s">
        <v>9</v>
      </c>
      <c r="C4" s="4" t="str">
        <f>VLOOKUP(B4,'Customer Information'!$A$4:$K$11,2,FALSE)</f>
        <v>Ms</v>
      </c>
      <c r="D4" s="4" t="str">
        <f>VLOOKUP(B4,'Customer Information'!$A$4:$K$11,3,FALSE)</f>
        <v>Samantha</v>
      </c>
      <c r="E4" s="4" t="str">
        <f>VLOOKUP(B4,'Customer Information'!$A$4:$K$11,4,FALSE)</f>
        <v>Blair</v>
      </c>
      <c r="F4" s="4" t="str">
        <f>VLOOKUP(B4,'Customer Information'!$A$4:$K$11,5,FALSE)</f>
        <v>iraq@gov.com</v>
      </c>
      <c r="G4" s="4" t="str">
        <f>VLOOKUP(B4,'Customer Information'!$A$4:$K$11,6,FALSE)</f>
        <v>87864 345678</v>
      </c>
      <c r="H4" s="4" t="str">
        <f>VLOOKUP(B4,'Customer Information'!$A$4:$K$11,7,FALSE)</f>
        <v>85 Afghan Lane</v>
      </c>
      <c r="I4" s="4" t="str">
        <f>VLOOKUP(B4,'Customer Information'!$A$4:$K$11,8,FALSE)</f>
        <v>London</v>
      </c>
      <c r="J4" s="4" t="str">
        <f>VLOOKUP(B4,'Customer Information'!$A$4:$K$11,9,FALSE)</f>
        <v>Westminster</v>
      </c>
      <c r="K4" s="4" t="str">
        <f>VLOOKUP(B4,'Customer Information'!$A$4:$K$11,10,FALSE)</f>
        <v>England</v>
      </c>
      <c r="L4" s="4" t="str">
        <f>VLOOKUP(B4,'Customer Information'!$A$4:$K$11,11,FALSE)</f>
        <v>SY7 8EE</v>
      </c>
      <c r="M4" s="4" t="s">
        <v>59</v>
      </c>
      <c r="N4" s="4" t="str">
        <f>VLOOKUP(M4,'Room Information'!$A$4:$D$11,2,FALSE)</f>
        <v>Twin</v>
      </c>
      <c r="O4" s="12">
        <f>VLOOKUP(M4,'Room Information'!$A$4:$D$11,3,FALSE)</f>
        <v>10</v>
      </c>
      <c r="P4" s="4">
        <f>VLOOKUP(M4,'Room Information'!$A$4:$D$11,4,FALSE)</f>
        <v>0</v>
      </c>
      <c r="Q4" s="11">
        <f ca="1">TODAY()</f>
        <v>41414</v>
      </c>
      <c r="R4" s="4"/>
      <c r="S4" s="11">
        <v>41366</v>
      </c>
      <c r="T4" s="11" t="str">
        <f ca="1">CONCATENATE(RANDBETWEEN(1,30),"/",RANDBETWEEN(1,12),"/","2013")</f>
        <v>24/10/2013</v>
      </c>
      <c r="U4" s="4" t="str">
        <f ca="1">CONCATENATE(DAYS360(S4,T4)," ","Nights",)</f>
        <v>202 Nights</v>
      </c>
      <c r="V4" s="13" t="s">
        <v>83</v>
      </c>
      <c r="W4" s="4" t="b">
        <f>IF(V4="Room Only","£10.00","")=IF(V4="Clothes Only","£20.00","")</f>
        <v>0</v>
      </c>
      <c r="X4" s="4" t="s">
        <v>85</v>
      </c>
      <c r="Y4" s="4">
        <f t="shared" ref="Y4:Y19" si="0">SUM(W4:X4)</f>
        <v>0</v>
      </c>
    </row>
    <row r="5" spans="1:25" x14ac:dyDescent="0.25">
      <c r="A5" s="4"/>
      <c r="B5" s="4" t="s">
        <v>10</v>
      </c>
      <c r="C5" s="4" t="str">
        <f>VLOOKUP(B5,'Customer Information'!$A$4:$K$11,2,FALSE)</f>
        <v>Mrs</v>
      </c>
      <c r="D5" s="4" t="str">
        <f>VLOOKUP(B5,'Customer Information'!$A$4:$K$11,3,FALSE)</f>
        <v>Paulina</v>
      </c>
      <c r="E5" s="4" t="str">
        <f>VLOOKUP(B5,'Customer Information'!$A$4:$K$11,4,FALSE)</f>
        <v>Jebb</v>
      </c>
      <c r="F5" s="4" t="str">
        <f>VLOOKUP(B5,'Customer Information'!$A$4:$K$11,5,FALSE)</f>
        <v>foodie@gmail.com</v>
      </c>
      <c r="G5" s="4" t="str">
        <f>VLOOKUP(B5,'Customer Information'!$A$4:$K$11,6,FALSE)</f>
        <v>87864 345679</v>
      </c>
      <c r="H5" s="4" t="str">
        <f>VLOOKUP(B5,'Customer Information'!$A$4:$K$11,7,FALSE)</f>
        <v>97 Salmon Street</v>
      </c>
      <c r="I5" s="4" t="str">
        <f>VLOOKUP(B5,'Customer Information'!$A$4:$K$11,8,FALSE)</f>
        <v>Cheshire</v>
      </c>
      <c r="J5" s="4" t="str">
        <f>VLOOKUP(B5,'Customer Information'!$A$4:$K$11,9,FALSE)</f>
        <v>Ingoo Plaza</v>
      </c>
      <c r="K5" s="4" t="str">
        <f>VLOOKUP(B5,'Customer Information'!$A$4:$K$11,10,FALSE)</f>
        <v>England</v>
      </c>
      <c r="L5" s="4" t="str">
        <f>VLOOKUP(B5,'Customer Information'!$A$4:$K$11,11,FALSE)</f>
        <v>SY7 8EE</v>
      </c>
      <c r="M5" s="4" t="s">
        <v>60</v>
      </c>
      <c r="N5" s="4" t="str">
        <f>VLOOKUP(M5,'Room Information'!$A$4:$D$11,2,FALSE)</f>
        <v>Double</v>
      </c>
      <c r="O5" s="12">
        <f>VLOOKUP(M5,'Room Information'!$A$4:$D$11,3,FALSE)</f>
        <v>25</v>
      </c>
      <c r="P5" s="4">
        <f>VLOOKUP(M5,'Room Information'!$A$4:$D$11,4,FALSE)</f>
        <v>0</v>
      </c>
      <c r="Q5" s="11">
        <f t="shared" ref="Q5:Q19" ca="1" si="1">TODAY()</f>
        <v>41414</v>
      </c>
      <c r="R5" s="4"/>
      <c r="S5" s="11">
        <v>41430</v>
      </c>
      <c r="T5" s="11" t="str">
        <f t="shared" ref="T5:T11" ca="1" si="2">CONCATENATE(RANDBETWEEN(1,30),"/",RANDBETWEEN(1,12),"/","2013")</f>
        <v>8/2/2013</v>
      </c>
      <c r="U5" s="4" t="str">
        <f ca="1">CONCATENATE(DAYS360(S5,T5)," ","nights",)</f>
        <v>-117 nights</v>
      </c>
      <c r="V5" s="13" t="s">
        <v>83</v>
      </c>
      <c r="W5" s="4" t="b">
        <f t="shared" ref="W5:W19" si="3">IF(V5="Room Only","£10.00","")=IF(V5="Clothes Only","£20.00","")</f>
        <v>0</v>
      </c>
      <c r="X5" s="4"/>
      <c r="Y5" s="4">
        <f t="shared" si="0"/>
        <v>0</v>
      </c>
    </row>
    <row r="6" spans="1:25" x14ac:dyDescent="0.25">
      <c r="A6" s="4"/>
      <c r="B6" s="4" t="s">
        <v>11</v>
      </c>
      <c r="C6" s="4" t="str">
        <f>VLOOKUP(B6,'Customer Information'!$A$4:$K$11,2,FALSE)</f>
        <v>Doctor</v>
      </c>
      <c r="D6" s="4" t="str">
        <f>VLOOKUP(B6,'Customer Information'!$A$4:$K$11,3,FALSE)</f>
        <v>Paul</v>
      </c>
      <c r="E6" s="4" t="str">
        <f>VLOOKUP(B6,'Customer Information'!$A$4:$K$11,4,FALSE)</f>
        <v>Jacobs</v>
      </c>
      <c r="F6" s="4" t="str">
        <f>VLOOKUP(B6,'Customer Information'!$A$4:$K$11,5,FALSE)</f>
        <v>iraq@gov.com</v>
      </c>
      <c r="G6" s="4" t="str">
        <f>VLOOKUP(B6,'Customer Information'!$A$4:$K$11,6,FALSE)</f>
        <v>87864 345680</v>
      </c>
      <c r="H6" s="4" t="str">
        <f>VLOOKUP(B6,'Customer Information'!$A$4:$K$11,7,FALSE)</f>
        <v>32 Chip Avenue</v>
      </c>
      <c r="I6" s="4" t="str">
        <f>VLOOKUP(B6,'Customer Information'!$A$4:$K$11,8,FALSE)</f>
        <v>Birmingham</v>
      </c>
      <c r="J6" s="4" t="str">
        <f>VLOOKUP(B6,'Customer Information'!$A$4:$K$11,9,FALSE)</f>
        <v>The Bullring</v>
      </c>
      <c r="K6" s="4" t="str">
        <f>VLOOKUP(B6,'Customer Information'!$A$4:$K$11,10,FALSE)</f>
        <v>England</v>
      </c>
      <c r="L6" s="4" t="str">
        <f>VLOOKUP(B6,'Customer Information'!$A$4:$K$11,11,FALSE)</f>
        <v>SY7 8EE</v>
      </c>
      <c r="M6" s="4" t="s">
        <v>61</v>
      </c>
      <c r="N6" s="4" t="str">
        <f>VLOOKUP(M6,'Room Information'!$A$4:$D$11,2,FALSE)</f>
        <v>Twin</v>
      </c>
      <c r="O6" s="12">
        <f>VLOOKUP(M6,'Room Information'!$A$4:$D$11,3,FALSE)</f>
        <v>10</v>
      </c>
      <c r="P6" s="4">
        <f>VLOOKUP(M6,'Room Information'!$A$4:$D$11,4,FALSE)</f>
        <v>0</v>
      </c>
      <c r="Q6" s="11">
        <f t="shared" ca="1" si="1"/>
        <v>41414</v>
      </c>
      <c r="R6" s="4"/>
      <c r="S6" s="11">
        <v>41432</v>
      </c>
      <c r="T6" s="11" t="str">
        <f t="shared" ca="1" si="2"/>
        <v>8/10/2013</v>
      </c>
      <c r="U6" s="4" t="str">
        <f t="shared" ref="U6:U11" ca="1" si="4">CONCATENATE(DAYS360(S6,T6)," ","Nights",)</f>
        <v>121 Nights</v>
      </c>
      <c r="V6" s="13" t="s">
        <v>82</v>
      </c>
      <c r="W6" s="4" t="b">
        <f t="shared" si="3"/>
        <v>1</v>
      </c>
      <c r="X6" s="4"/>
      <c r="Y6" s="4">
        <f t="shared" si="0"/>
        <v>0</v>
      </c>
    </row>
    <row r="7" spans="1:25" x14ac:dyDescent="0.25">
      <c r="A7" s="4"/>
      <c r="B7" s="4" t="s">
        <v>12</v>
      </c>
      <c r="C7" s="4" t="str">
        <f>VLOOKUP(B7,'Customer Information'!$A$4:$K$11,2,FALSE)</f>
        <v>Lord</v>
      </c>
      <c r="D7" s="4" t="str">
        <f>VLOOKUP(B7,'Customer Information'!$A$4:$K$11,3,FALSE)</f>
        <v>Alan</v>
      </c>
      <c r="E7" s="4" t="str">
        <f>VLOOKUP(B7,'Customer Information'!$A$4:$K$11,4,FALSE)</f>
        <v>Sugar</v>
      </c>
      <c r="F7" s="4" t="str">
        <f>VLOOKUP(B7,'Customer Information'!$A$4:$K$11,5,FALSE)</f>
        <v>foodie@gmail.com</v>
      </c>
      <c r="G7" s="4" t="str">
        <f>VLOOKUP(B7,'Customer Information'!$A$4:$K$11,6,FALSE)</f>
        <v>87864 345681</v>
      </c>
      <c r="H7" s="4" t="str">
        <f>VLOOKUP(B7,'Customer Information'!$A$4:$K$11,7,FALSE)</f>
        <v>12 Youview Lane</v>
      </c>
      <c r="I7" s="4" t="str">
        <f>VLOOKUP(B7,'Customer Information'!$A$4:$K$11,8,FALSE)</f>
        <v>London</v>
      </c>
      <c r="J7" s="4" t="str">
        <f>VLOOKUP(B7,'Customer Information'!$A$4:$K$11,9,FALSE)</f>
        <v>Hampshire</v>
      </c>
      <c r="K7" s="4" t="str">
        <f>VLOOKUP(B7,'Customer Information'!$A$4:$K$11,10,FALSE)</f>
        <v>England</v>
      </c>
      <c r="L7" s="4" t="str">
        <f>VLOOKUP(B7,'Customer Information'!$A$4:$K$11,11,FALSE)</f>
        <v>SY7 8EE</v>
      </c>
      <c r="M7" s="4" t="s">
        <v>62</v>
      </c>
      <c r="N7" s="4" t="str">
        <f>VLOOKUP(M7,'Room Information'!$A$4:$D$11,2,FALSE)</f>
        <v>Double</v>
      </c>
      <c r="O7" s="12">
        <f>VLOOKUP(M7,'Room Information'!$A$4:$D$11,3,FALSE)</f>
        <v>25</v>
      </c>
      <c r="P7" s="4">
        <f>VLOOKUP(M7,'Room Information'!$A$4:$D$11,4,FALSE)</f>
        <v>0</v>
      </c>
      <c r="Q7" s="11">
        <f t="shared" ca="1" si="1"/>
        <v>41414</v>
      </c>
      <c r="R7" s="4"/>
      <c r="S7" s="11">
        <v>41433</v>
      </c>
      <c r="T7" s="11" t="str">
        <f t="shared" ca="1" si="2"/>
        <v>5/11/2013</v>
      </c>
      <c r="U7" s="4" t="str">
        <f t="shared" ca="1" si="4"/>
        <v>147 Nights</v>
      </c>
      <c r="V7" s="13" t="s">
        <v>84</v>
      </c>
      <c r="W7" s="4" t="b">
        <f t="shared" si="3"/>
        <v>0</v>
      </c>
      <c r="X7" s="4"/>
      <c r="Y7" s="4">
        <f t="shared" si="0"/>
        <v>0</v>
      </c>
    </row>
    <row r="8" spans="1:25" x14ac:dyDescent="0.25">
      <c r="A8" s="4"/>
      <c r="B8" s="4" t="s">
        <v>13</v>
      </c>
      <c r="C8" s="4" t="str">
        <f>VLOOKUP(B8,'Customer Information'!$A$4:$K$11,2,FALSE)</f>
        <v>Doctor</v>
      </c>
      <c r="D8" s="4" t="str">
        <f>VLOOKUP(B8,'Customer Information'!$A$4:$K$11,3,FALSE)</f>
        <v>Tony</v>
      </c>
      <c r="E8" s="4" t="str">
        <f>VLOOKUP(B8,'Customer Information'!$A$4:$K$11,4,FALSE)</f>
        <v>Blair</v>
      </c>
      <c r="F8" s="4" t="str">
        <f>VLOOKUP(B8,'Customer Information'!$A$4:$K$11,5,FALSE)</f>
        <v>iraq@gov.com</v>
      </c>
      <c r="G8" s="4" t="str">
        <f>VLOOKUP(B8,'Customer Information'!$A$4:$K$11,6,FALSE)</f>
        <v>87864 345682</v>
      </c>
      <c r="H8" s="4" t="str">
        <f>VLOOKUP(B8,'Customer Information'!$A$4:$K$11,7,FALSE)</f>
        <v>Hampshire Row</v>
      </c>
      <c r="I8" s="4" t="str">
        <f>VLOOKUP(B8,'Customer Information'!$A$4:$K$11,8,FALSE)</f>
        <v>Reading</v>
      </c>
      <c r="J8" s="4" t="str">
        <f>VLOOKUP(B8,'Customer Information'!$A$4:$K$11,9,FALSE)</f>
        <v xml:space="preserve"> Train Station</v>
      </c>
      <c r="K8" s="4" t="str">
        <f>VLOOKUP(B8,'Customer Information'!$A$4:$K$11,10,FALSE)</f>
        <v>England</v>
      </c>
      <c r="L8" s="4" t="str">
        <f>VLOOKUP(B8,'Customer Information'!$A$4:$K$11,11,FALSE)</f>
        <v>SY7 8EE</v>
      </c>
      <c r="M8" s="4" t="s">
        <v>63</v>
      </c>
      <c r="N8" s="4" t="str">
        <f>VLOOKUP(M8,'Room Information'!$A$4:$D$11,2,FALSE)</f>
        <v>Twin</v>
      </c>
      <c r="O8" s="12">
        <f>VLOOKUP(M8,'Room Information'!$A$4:$D$11,3,FALSE)</f>
        <v>10</v>
      </c>
      <c r="P8" s="4">
        <f>VLOOKUP(M8,'Room Information'!$A$4:$D$11,4,FALSE)</f>
        <v>0</v>
      </c>
      <c r="Q8" s="11">
        <f t="shared" ca="1" si="1"/>
        <v>41414</v>
      </c>
      <c r="R8" s="4"/>
      <c r="S8" s="11">
        <v>41434</v>
      </c>
      <c r="T8" s="11" t="str">
        <f t="shared" ca="1" si="2"/>
        <v>18/3/2013</v>
      </c>
      <c r="U8" s="4" t="str">
        <f t="shared" ca="1" si="4"/>
        <v>-81 Nights</v>
      </c>
      <c r="V8" s="13" t="s">
        <v>83</v>
      </c>
      <c r="W8" s="4" t="b">
        <f t="shared" si="3"/>
        <v>0</v>
      </c>
      <c r="X8" s="4"/>
      <c r="Y8" s="4">
        <f t="shared" si="0"/>
        <v>0</v>
      </c>
    </row>
    <row r="9" spans="1:25" x14ac:dyDescent="0.25">
      <c r="A9" s="4"/>
      <c r="B9" s="4" t="s">
        <v>14</v>
      </c>
      <c r="C9" s="4" t="str">
        <f>VLOOKUP(B9,'Customer Information'!$A$4:$K$11,2,FALSE)</f>
        <v>Ms</v>
      </c>
      <c r="D9" s="4" t="str">
        <f>VLOOKUP(B9,'Customer Information'!$A$4:$K$11,3,FALSE)</f>
        <v>Samantha</v>
      </c>
      <c r="E9" s="4" t="str">
        <f>VLOOKUP(B9,'Customer Information'!$A$4:$K$11,4,FALSE)</f>
        <v>Blair</v>
      </c>
      <c r="F9" s="4" t="str">
        <f>VLOOKUP(B9,'Customer Information'!$A$4:$K$11,5,FALSE)</f>
        <v>foodie@gmail.com</v>
      </c>
      <c r="G9" s="4" t="str">
        <f>VLOOKUP(B9,'Customer Information'!$A$4:$K$11,6,FALSE)</f>
        <v>87864 345683</v>
      </c>
      <c r="H9" s="4" t="str">
        <f>VLOOKUP(B9,'Customer Information'!$A$4:$K$11,7,FALSE)</f>
        <v>85 Afghan Lane</v>
      </c>
      <c r="I9" s="4" t="str">
        <f>VLOOKUP(B9,'Customer Information'!$A$4:$K$11,8,FALSE)</f>
        <v>London</v>
      </c>
      <c r="J9" s="4" t="str">
        <f>VLOOKUP(B9,'Customer Information'!$A$4:$K$11,9,FALSE)</f>
        <v>Hampshire</v>
      </c>
      <c r="K9" s="4" t="str">
        <f>VLOOKUP(B9,'Customer Information'!$A$4:$K$11,10,FALSE)</f>
        <v>England</v>
      </c>
      <c r="L9" s="4" t="str">
        <f>VLOOKUP(B9,'Customer Information'!$A$4:$K$11,11,FALSE)</f>
        <v>SY7 8EE</v>
      </c>
      <c r="M9" s="4" t="s">
        <v>64</v>
      </c>
      <c r="N9" s="4" t="str">
        <f>VLOOKUP(M9,'Room Information'!$A$4:$D$11,2,FALSE)</f>
        <v>Double</v>
      </c>
      <c r="O9" s="12">
        <f>VLOOKUP(M9,'Room Information'!$A$4:$D$11,3,FALSE)</f>
        <v>25</v>
      </c>
      <c r="P9" s="4">
        <f>VLOOKUP(M9,'Room Information'!$A$4:$D$11,4,FALSE)</f>
        <v>0</v>
      </c>
      <c r="Q9" s="11">
        <f t="shared" ca="1" si="1"/>
        <v>41414</v>
      </c>
      <c r="R9" s="4"/>
      <c r="S9" s="11">
        <v>41435</v>
      </c>
      <c r="T9" s="11" t="str">
        <f t="shared" ca="1" si="2"/>
        <v>10/12/2013</v>
      </c>
      <c r="U9" s="4" t="str">
        <f t="shared" ca="1" si="4"/>
        <v>180 Nights</v>
      </c>
      <c r="V9" s="13" t="s">
        <v>84</v>
      </c>
      <c r="W9" s="4" t="b">
        <f t="shared" si="3"/>
        <v>0</v>
      </c>
      <c r="X9" s="4"/>
      <c r="Y9" s="4">
        <f t="shared" si="0"/>
        <v>0</v>
      </c>
    </row>
    <row r="10" spans="1:25" x14ac:dyDescent="0.25">
      <c r="A10" s="4"/>
      <c r="B10" s="4" t="s">
        <v>15</v>
      </c>
      <c r="C10" s="4" t="str">
        <f>VLOOKUP(B10,'Customer Information'!$A$4:$K$11,2,FALSE)</f>
        <v>Doctor</v>
      </c>
      <c r="D10" s="4" t="str">
        <f>VLOOKUP(B10,'Customer Information'!$A$4:$K$11,3,FALSE)</f>
        <v>Paul</v>
      </c>
      <c r="E10" s="4" t="str">
        <f>VLOOKUP(B10,'Customer Information'!$A$4:$K$11,4,FALSE)</f>
        <v>Jacobs</v>
      </c>
      <c r="F10" s="4" t="str">
        <f>VLOOKUP(B10,'Customer Information'!$A$4:$K$11,5,FALSE)</f>
        <v>iraq@gov.com</v>
      </c>
      <c r="G10" s="4" t="str">
        <f>VLOOKUP(B10,'Customer Information'!$A$4:$K$11,6,FALSE)</f>
        <v>87864 345684</v>
      </c>
      <c r="H10" s="4" t="str">
        <f>VLOOKUP(B10,'Customer Information'!$A$4:$K$11,7,FALSE)</f>
        <v>32 Chip Avenue</v>
      </c>
      <c r="I10" s="4" t="str">
        <f>VLOOKUP(B10,'Customer Information'!$A$4:$K$11,8,FALSE)</f>
        <v>London</v>
      </c>
      <c r="J10" s="4" t="str">
        <f>VLOOKUP(B10,'Customer Information'!$A$4:$K$11,9,FALSE)</f>
        <v>Hampshire</v>
      </c>
      <c r="K10" s="4" t="str">
        <f>VLOOKUP(B10,'Customer Information'!$A$4:$K$11,10,FALSE)</f>
        <v>England</v>
      </c>
      <c r="L10" s="4" t="str">
        <f>VLOOKUP(B10,'Customer Information'!$A$4:$K$11,11,FALSE)</f>
        <v>SY7 8EE</v>
      </c>
      <c r="M10" s="4" t="s">
        <v>65</v>
      </c>
      <c r="N10" s="4" t="str">
        <f>VLOOKUP(M10,'Room Information'!$A$4:$D$11,2,FALSE)</f>
        <v>Twin</v>
      </c>
      <c r="O10" s="12">
        <f>VLOOKUP(M10,'Room Information'!$A$4:$D$11,3,FALSE)</f>
        <v>10</v>
      </c>
      <c r="P10" s="4">
        <f>VLOOKUP(M10,'Room Information'!$A$4:$D$11,4,FALSE)</f>
        <v>0</v>
      </c>
      <c r="Q10" s="11">
        <f t="shared" ca="1" si="1"/>
        <v>41414</v>
      </c>
      <c r="R10" s="4"/>
      <c r="S10" s="11">
        <v>41436</v>
      </c>
      <c r="T10" s="11" t="str">
        <f t="shared" ca="1" si="2"/>
        <v>30/2/2013</v>
      </c>
      <c r="U10" s="4" t="e">
        <f t="shared" ca="1" si="4"/>
        <v>#VALUE!</v>
      </c>
      <c r="V10" s="13" t="s">
        <v>84</v>
      </c>
      <c r="W10" s="4" t="b">
        <f t="shared" si="3"/>
        <v>0</v>
      </c>
      <c r="X10" s="4"/>
      <c r="Y10" s="4">
        <f t="shared" si="0"/>
        <v>0</v>
      </c>
    </row>
    <row r="11" spans="1:25" x14ac:dyDescent="0.25">
      <c r="A11" s="4"/>
      <c r="B11" s="4" t="s">
        <v>16</v>
      </c>
      <c r="C11" s="4" t="str">
        <f>VLOOKUP(B11,'Customer Information'!$A$4:$K$11,2,FALSE)</f>
        <v>Mrs</v>
      </c>
      <c r="D11" s="4" t="str">
        <f>VLOOKUP(B11,'Customer Information'!$A$4:$K$11,3,FALSE)</f>
        <v>Paulina</v>
      </c>
      <c r="E11" s="4" t="str">
        <f>VLOOKUP(B11,'Customer Information'!$A$4:$K$11,4,FALSE)</f>
        <v>Jebb</v>
      </c>
      <c r="F11" s="4" t="str">
        <f>VLOOKUP(B11,'Customer Information'!$A$4:$K$11,5,FALSE)</f>
        <v>foodie@gmail.com</v>
      </c>
      <c r="G11" s="4" t="str">
        <f>VLOOKUP(B11,'Customer Information'!$A$4:$K$11,6,FALSE)</f>
        <v>87864 345685</v>
      </c>
      <c r="H11" s="4" t="str">
        <f>VLOOKUP(B11,'Customer Information'!$A$4:$K$11,7,FALSE)</f>
        <v>Hampshire Row</v>
      </c>
      <c r="I11" s="4" t="str">
        <f>VLOOKUP(B11,'Customer Information'!$A$4:$K$11,8,FALSE)</f>
        <v>London</v>
      </c>
      <c r="J11" s="4" t="str">
        <f>VLOOKUP(B11,'Customer Information'!$A$4:$K$11,9,FALSE)</f>
        <v>Hampshire</v>
      </c>
      <c r="K11" s="4" t="str">
        <f>VLOOKUP(B11,'Customer Information'!$A$4:$K$11,10,FALSE)</f>
        <v>England</v>
      </c>
      <c r="L11" s="4" t="str">
        <f>VLOOKUP(B11,'Customer Information'!$A$4:$K$11,11,FALSE)</f>
        <v>SY7 8EE</v>
      </c>
      <c r="M11" s="4" t="s">
        <v>66</v>
      </c>
      <c r="N11" s="4" t="str">
        <f>VLOOKUP(M11,'Room Information'!$A$4:$D$11,2,FALSE)</f>
        <v>Double</v>
      </c>
      <c r="O11" s="12">
        <f>VLOOKUP(M11,'Room Information'!$A$4:$D$11,3,FALSE)</f>
        <v>25</v>
      </c>
      <c r="P11" s="4">
        <f>VLOOKUP(M11,'Room Information'!$A$4:$D$11,4,FALSE)</f>
        <v>0</v>
      </c>
      <c r="Q11" s="11">
        <f t="shared" ca="1" si="1"/>
        <v>41414</v>
      </c>
      <c r="R11" s="4"/>
      <c r="S11" s="11">
        <v>41437</v>
      </c>
      <c r="T11" s="11" t="str">
        <f t="shared" ca="1" si="2"/>
        <v>26/10/2013</v>
      </c>
      <c r="U11" s="4" t="str">
        <f t="shared" ca="1" si="4"/>
        <v>134 Nights</v>
      </c>
      <c r="V11" s="13" t="s">
        <v>84</v>
      </c>
      <c r="W11" s="4" t="b">
        <f t="shared" si="3"/>
        <v>0</v>
      </c>
      <c r="X11" s="4"/>
      <c r="Y11" s="4">
        <f t="shared" si="0"/>
        <v>0</v>
      </c>
    </row>
    <row r="12" spans="1:2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20"/>
      <c r="Q12" s="22"/>
      <c r="R12" s="20"/>
      <c r="S12" s="22"/>
      <c r="T12" s="22"/>
      <c r="U12" s="20"/>
      <c r="V12" s="23"/>
      <c r="W12" s="20"/>
      <c r="X12" s="20"/>
      <c r="Y12" s="20"/>
    </row>
    <row r="13" spans="1:2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20"/>
      <c r="Q13" s="22"/>
      <c r="R13" s="20"/>
      <c r="S13" s="22"/>
      <c r="T13" s="22"/>
      <c r="U13" s="20"/>
      <c r="V13" s="23"/>
      <c r="W13" s="20"/>
      <c r="X13" s="20"/>
      <c r="Y13" s="20"/>
    </row>
    <row r="14" spans="1:2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1"/>
      <c r="P14" s="20"/>
      <c r="Q14" s="22"/>
      <c r="R14" s="20"/>
      <c r="S14" s="22"/>
      <c r="T14" s="22"/>
      <c r="U14" s="20"/>
      <c r="V14" s="23"/>
      <c r="W14" s="20"/>
      <c r="X14" s="20"/>
      <c r="Y14" s="20"/>
    </row>
    <row r="15" spans="1:2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20"/>
      <c r="Q15" s="22"/>
      <c r="R15" s="20"/>
      <c r="S15" s="22"/>
      <c r="T15" s="22"/>
      <c r="U15" s="20"/>
      <c r="V15" s="23"/>
      <c r="W15" s="20"/>
      <c r="X15" s="20"/>
      <c r="Y15" s="20"/>
    </row>
    <row r="16" spans="1:2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20"/>
      <c r="Q16" s="22"/>
      <c r="R16" s="20"/>
      <c r="S16" s="22"/>
      <c r="T16" s="22"/>
      <c r="U16" s="20"/>
      <c r="V16" s="23"/>
      <c r="W16" s="20"/>
      <c r="X16" s="20"/>
      <c r="Y16" s="20"/>
    </row>
    <row r="17" spans="1:2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  <c r="P17" s="20"/>
      <c r="Q17" s="22"/>
      <c r="R17" s="20"/>
      <c r="S17" s="22"/>
      <c r="T17" s="22"/>
      <c r="U17" s="20"/>
      <c r="V17" s="23"/>
      <c r="W17" s="20"/>
      <c r="X17" s="20"/>
      <c r="Y17" s="20"/>
    </row>
    <row r="18" spans="1:2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  <c r="P18" s="20"/>
      <c r="Q18" s="22"/>
      <c r="R18" s="20"/>
      <c r="S18" s="22"/>
      <c r="T18" s="22"/>
      <c r="U18" s="20"/>
      <c r="V18" s="23"/>
      <c r="W18" s="20"/>
      <c r="X18" s="20"/>
      <c r="Y18" s="20"/>
    </row>
    <row r="19" spans="1:2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  <c r="P19" s="20"/>
      <c r="Q19" s="22"/>
      <c r="R19" s="20"/>
      <c r="S19" s="22"/>
      <c r="T19" s="22"/>
      <c r="U19" s="20"/>
      <c r="V19" s="23"/>
      <c r="W19" s="20"/>
      <c r="X19" s="20"/>
      <c r="Y19" s="20"/>
    </row>
    <row r="22" spans="1:25" x14ac:dyDescent="0.25">
      <c r="S22" s="13" t="str">
        <f ca="1">IF(LEN(U4)&gt;0,"Room full!","Room free!")</f>
        <v>Room full!</v>
      </c>
    </row>
  </sheetData>
  <dataValidations count="8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"/>
    <dataValidation type="date" allowBlank="1" showInputMessage="1" showErrorMessage="1" errorTitle="Invalid Input" error="You must enter a valid date." sqref="T12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V4:W19">
      <formula1>"Full Service,Room Only,Clothes Only"</formula1>
    </dataValidation>
    <dataValidation type="list" allowBlank="1" showInputMessage="1" showErrorMessage="1" sqref="X4:X19">
      <formula1>"All hours,Mornings,Afternoons,Evening"</formula1>
    </dataValidation>
    <dataValidation type="list" allowBlank="1" showInputMessage="1" showErrorMessage="1" errorTitle="Invalid Input" error="You must select the amount of time required." sqref="Y4:Y19">
      <formula1>"10 Minutes,20 Minutes,30 Minutes,1 Hour Plus"</formula1>
    </dataValidation>
    <dataValidation allowBlank="1" showInputMessage="1" showErrorMessage="1" errorTitle="Invalid Input" error="You must enter a valid date." sqref="T4:T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orkbookViewId="0">
      <selection activeCell="E33" sqref="E33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9" t="s">
        <v>58</v>
      </c>
      <c r="B3" s="9" t="s">
        <v>67</v>
      </c>
      <c r="C3" s="9" t="s">
        <v>70</v>
      </c>
      <c r="D3" s="9" t="s">
        <v>71</v>
      </c>
    </row>
    <row r="4" spans="1:20" x14ac:dyDescent="0.25">
      <c r="A4" s="7" t="s">
        <v>59</v>
      </c>
      <c r="B4" s="7" t="s">
        <v>69</v>
      </c>
      <c r="C4" s="8">
        <v>10</v>
      </c>
      <c r="D4" s="4"/>
    </row>
    <row r="5" spans="1:20" x14ac:dyDescent="0.25">
      <c r="A5" s="7" t="s">
        <v>60</v>
      </c>
      <c r="B5" s="7" t="s">
        <v>68</v>
      </c>
      <c r="C5" s="8">
        <v>25</v>
      </c>
      <c r="D5" s="4"/>
    </row>
    <row r="6" spans="1:20" x14ac:dyDescent="0.25">
      <c r="A6" s="7" t="s">
        <v>61</v>
      </c>
      <c r="B6" s="7" t="s">
        <v>69</v>
      </c>
      <c r="C6" s="8">
        <v>10</v>
      </c>
      <c r="D6" s="4"/>
    </row>
    <row r="7" spans="1:20" x14ac:dyDescent="0.25">
      <c r="A7" s="7" t="s">
        <v>62</v>
      </c>
      <c r="B7" s="7" t="s">
        <v>68</v>
      </c>
      <c r="C7" s="8">
        <v>25</v>
      </c>
      <c r="D7" s="4"/>
    </row>
    <row r="8" spans="1:20" x14ac:dyDescent="0.25">
      <c r="A8" s="7" t="s">
        <v>63</v>
      </c>
      <c r="B8" s="7" t="s">
        <v>69</v>
      </c>
      <c r="C8" s="8">
        <v>10</v>
      </c>
      <c r="D8" s="4"/>
    </row>
    <row r="9" spans="1:20" x14ac:dyDescent="0.25">
      <c r="A9" s="7" t="s">
        <v>64</v>
      </c>
      <c r="B9" s="7" t="s">
        <v>68</v>
      </c>
      <c r="C9" s="8">
        <v>25</v>
      </c>
      <c r="D9" s="4"/>
    </row>
    <row r="10" spans="1:20" x14ac:dyDescent="0.25">
      <c r="A10" s="7" t="s">
        <v>65</v>
      </c>
      <c r="B10" s="7" t="s">
        <v>69</v>
      </c>
      <c r="C10" s="8">
        <v>10</v>
      </c>
      <c r="D10" s="4"/>
    </row>
    <row r="11" spans="1:20" x14ac:dyDescent="0.25">
      <c r="A11" s="7" t="s">
        <v>66</v>
      </c>
      <c r="B11" s="7" t="s">
        <v>68</v>
      </c>
      <c r="C11" s="8">
        <v>25</v>
      </c>
      <c r="D11" s="4"/>
    </row>
  </sheetData>
  <conditionalFormatting sqref="D4:D11">
    <cfRule type="cellIs" dxfId="1" priority="1" operator="equal">
      <formula>"Occupied"</formula>
    </cfRule>
    <cfRule type="cellIs" dxfId="0" priority="2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2"/>
  <sheetViews>
    <sheetView workbookViewId="0">
      <selection activeCell="H32" sqref="H32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T25"/>
  <sheetViews>
    <sheetView topLeftCell="F1" workbookViewId="0">
      <selection activeCell="O8" sqref="O8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12.28515625" customWidth="1"/>
    <col min="13" max="13" width="20.140625" customWidth="1"/>
    <col min="14" max="14" width="18.5703125" customWidth="1"/>
  </cols>
  <sheetData>
    <row r="1" spans="1:20" ht="15" customHeight="1" x14ac:dyDescent="0.25">
      <c r="A1" s="19" t="str">
        <f>'Bookings Information'!A3</f>
        <v>Booking ID</v>
      </c>
      <c r="B1" s="19" t="str">
        <f>'Bookings Information'!C3</f>
        <v>Title</v>
      </c>
      <c r="C1" s="19" t="str">
        <f>'Bookings Information'!D3</f>
        <v>First Name</v>
      </c>
      <c r="D1" s="18" t="str">
        <f>'Bookings Information'!E3</f>
        <v>Second Name</v>
      </c>
      <c r="E1" s="18" t="str">
        <f>'Bookings Information'!H3</f>
        <v>Address Line 1</v>
      </c>
      <c r="F1" s="18" t="str">
        <f>'Bookings Information'!I3</f>
        <v>Address Line 2</v>
      </c>
      <c r="G1" s="18" t="str">
        <f>'Bookings Information'!J3</f>
        <v>Address Line 3</v>
      </c>
      <c r="H1" s="18" t="str">
        <f>'Bookings Information'!K3</f>
        <v>Address Line 4</v>
      </c>
      <c r="I1" s="18" t="str">
        <f>'Bookings Information'!L3</f>
        <v>Address Line 5</v>
      </c>
      <c r="J1" s="19" t="str">
        <f>'Room Information'!B3</f>
        <v>Room Type</v>
      </c>
      <c r="K1" t="str">
        <f>'Room Information'!C3</f>
        <v>Room Price</v>
      </c>
      <c r="L1" s="19" t="s">
        <v>86</v>
      </c>
      <c r="M1" s="19" t="s">
        <v>73</v>
      </c>
      <c r="N1" s="19" t="s">
        <v>74</v>
      </c>
      <c r="O1" s="19"/>
      <c r="P1" s="19"/>
      <c r="Q1" s="19"/>
      <c r="R1" s="3"/>
      <c r="S1" s="3"/>
      <c r="T1" s="3"/>
    </row>
    <row r="2" spans="1:20" x14ac:dyDescent="0.25">
      <c r="A2" s="19">
        <f>'Bookings Information'!A4</f>
        <v>0</v>
      </c>
      <c r="B2" s="19" t="str">
        <f>'Bookings Information'!C4</f>
        <v>Ms</v>
      </c>
      <c r="C2" s="19" t="str">
        <f>'Bookings Information'!D4</f>
        <v>Samantha</v>
      </c>
      <c r="D2" s="18" t="str">
        <f>'Bookings Information'!E4</f>
        <v>Blair</v>
      </c>
      <c r="E2" s="18" t="str">
        <f>'Bookings Information'!H4</f>
        <v>85 Afghan Lane</v>
      </c>
      <c r="F2" s="18" t="str">
        <f>'Bookings Information'!I4</f>
        <v>London</v>
      </c>
      <c r="G2" s="18" t="str">
        <f>'Bookings Information'!J4</f>
        <v>Westminster</v>
      </c>
      <c r="H2" s="18" t="str">
        <f>'Bookings Information'!K4</f>
        <v>England</v>
      </c>
      <c r="I2" s="18" t="str">
        <f>'Bookings Information'!L4</f>
        <v>SY7 8EE</v>
      </c>
      <c r="J2" s="19" t="str">
        <f>'Room Information'!B4</f>
        <v>Twin</v>
      </c>
      <c r="K2" s="24">
        <f>'Room Information'!C4</f>
        <v>10</v>
      </c>
      <c r="L2" s="19"/>
      <c r="M2" s="25">
        <f>'Bookings Information'!S4</f>
        <v>41366</v>
      </c>
      <c r="N2" s="25" t="str">
        <f ca="1">'Bookings Information'!T4</f>
        <v>24/10/2013</v>
      </c>
      <c r="O2" s="19"/>
      <c r="P2" s="19"/>
      <c r="Q2" s="19"/>
      <c r="R2" s="3"/>
      <c r="S2" s="3"/>
      <c r="T2" s="3"/>
    </row>
    <row r="3" spans="1:20" x14ac:dyDescent="0.25">
      <c r="A3" s="19">
        <f>'Bookings Information'!A5</f>
        <v>0</v>
      </c>
      <c r="B3" s="19" t="str">
        <f>'Bookings Information'!C5</f>
        <v>Mrs</v>
      </c>
      <c r="C3" s="19" t="str">
        <f>'Bookings Information'!D5</f>
        <v>Paulina</v>
      </c>
      <c r="D3" s="18" t="str">
        <f>'Bookings Information'!E5</f>
        <v>Jebb</v>
      </c>
      <c r="E3" s="18" t="str">
        <f>'Bookings Information'!H5</f>
        <v>97 Salmon Street</v>
      </c>
      <c r="F3" s="18" t="str">
        <f>'Bookings Information'!I5</f>
        <v>Cheshire</v>
      </c>
      <c r="G3" s="18" t="str">
        <f>'Bookings Information'!J5</f>
        <v>Ingoo Plaza</v>
      </c>
      <c r="H3" s="18" t="str">
        <f>'Bookings Information'!K5</f>
        <v>England</v>
      </c>
      <c r="I3" s="18" t="str">
        <f>'Bookings Information'!L5</f>
        <v>SY7 8EE</v>
      </c>
      <c r="J3" s="19" t="str">
        <f>'Room Information'!B5</f>
        <v>Double</v>
      </c>
      <c r="K3" s="24">
        <f>'Room Information'!C5</f>
        <v>25</v>
      </c>
      <c r="L3" s="16"/>
      <c r="M3" s="25">
        <f>'Bookings Information'!S5</f>
        <v>41430</v>
      </c>
      <c r="N3" s="25" t="str">
        <f ca="1">'Bookings Information'!T5</f>
        <v>8/2/2013</v>
      </c>
      <c r="O3" s="16"/>
      <c r="P3" s="16"/>
      <c r="Q3" s="16"/>
    </row>
    <row r="4" spans="1:20" x14ac:dyDescent="0.25">
      <c r="A4" s="19">
        <f>'Bookings Information'!A6</f>
        <v>0</v>
      </c>
      <c r="B4" s="19" t="str">
        <f>'Bookings Information'!C6</f>
        <v>Doctor</v>
      </c>
      <c r="C4" s="19" t="str">
        <f>'Bookings Information'!D6</f>
        <v>Paul</v>
      </c>
      <c r="D4" s="18" t="str">
        <f>'Bookings Information'!E6</f>
        <v>Jacobs</v>
      </c>
      <c r="E4" s="18" t="str">
        <f>'Bookings Information'!H6</f>
        <v>32 Chip Avenue</v>
      </c>
      <c r="F4" s="18" t="str">
        <f>'Bookings Information'!I6</f>
        <v>Birmingham</v>
      </c>
      <c r="G4" s="18" t="str">
        <f>'Bookings Information'!J6</f>
        <v>The Bullring</v>
      </c>
      <c r="H4" s="18" t="str">
        <f>'Bookings Information'!K6</f>
        <v>England</v>
      </c>
      <c r="I4" s="18" t="str">
        <f>'Bookings Information'!L6</f>
        <v>SY7 8EE</v>
      </c>
      <c r="J4" s="19" t="str">
        <f>'Room Information'!B6</f>
        <v>Twin</v>
      </c>
      <c r="K4" s="24">
        <f>'Room Information'!C6</f>
        <v>10</v>
      </c>
      <c r="L4" s="16"/>
      <c r="M4" s="25">
        <f>'Bookings Information'!S6</f>
        <v>41432</v>
      </c>
      <c r="N4" s="25" t="str">
        <f ca="1">'Bookings Information'!T6</f>
        <v>8/10/2013</v>
      </c>
      <c r="O4" s="16"/>
      <c r="P4" s="16"/>
      <c r="Q4" s="16"/>
    </row>
    <row r="5" spans="1:20" x14ac:dyDescent="0.25">
      <c r="A5" s="19">
        <f>'Bookings Information'!A7</f>
        <v>0</v>
      </c>
      <c r="B5" s="19" t="str">
        <f>'Bookings Information'!C7</f>
        <v>Lord</v>
      </c>
      <c r="C5" s="19" t="str">
        <f>'Bookings Information'!D7</f>
        <v>Alan</v>
      </c>
      <c r="D5" s="18" t="str">
        <f>'Bookings Information'!E7</f>
        <v>Sugar</v>
      </c>
      <c r="E5" s="18" t="str">
        <f>'Bookings Information'!H7</f>
        <v>12 Youview Lane</v>
      </c>
      <c r="F5" s="18" t="str">
        <f>'Bookings Information'!I7</f>
        <v>London</v>
      </c>
      <c r="G5" s="18" t="str">
        <f>'Bookings Information'!J7</f>
        <v>Hampshire</v>
      </c>
      <c r="H5" s="18" t="str">
        <f>'Bookings Information'!K7</f>
        <v>England</v>
      </c>
      <c r="I5" s="18" t="str">
        <f>'Bookings Information'!L7</f>
        <v>SY7 8EE</v>
      </c>
      <c r="J5" s="19" t="str">
        <f>'Room Information'!B7</f>
        <v>Double</v>
      </c>
      <c r="K5" s="24">
        <f>'Room Information'!C7</f>
        <v>25</v>
      </c>
      <c r="L5" s="16"/>
      <c r="M5" s="25">
        <f>'Bookings Information'!S7</f>
        <v>41433</v>
      </c>
      <c r="N5" s="25" t="str">
        <f ca="1">'Bookings Information'!T7</f>
        <v>5/11/2013</v>
      </c>
      <c r="O5" s="16"/>
      <c r="P5" s="16"/>
      <c r="Q5" s="16"/>
    </row>
    <row r="6" spans="1:20" x14ac:dyDescent="0.25">
      <c r="A6" s="19">
        <f>'Bookings Information'!A8</f>
        <v>0</v>
      </c>
      <c r="B6" s="19" t="str">
        <f>'Bookings Information'!C8</f>
        <v>Doctor</v>
      </c>
      <c r="C6" s="19" t="str">
        <f>'Bookings Information'!D8</f>
        <v>Tony</v>
      </c>
      <c r="D6" s="18" t="str">
        <f>'Bookings Information'!E8</f>
        <v>Blair</v>
      </c>
      <c r="E6" s="18" t="str">
        <f>'Bookings Information'!H8</f>
        <v>Hampshire Row</v>
      </c>
      <c r="F6" s="18" t="str">
        <f>'Bookings Information'!I8</f>
        <v>Reading</v>
      </c>
      <c r="G6" s="18" t="str">
        <f>'Bookings Information'!J8</f>
        <v xml:space="preserve"> Train Station</v>
      </c>
      <c r="H6" s="18" t="str">
        <f>'Bookings Information'!K8</f>
        <v>England</v>
      </c>
      <c r="I6" s="18" t="str">
        <f>'Bookings Information'!L8</f>
        <v>SY7 8EE</v>
      </c>
      <c r="J6" s="19" t="str">
        <f>'Room Information'!B8</f>
        <v>Twin</v>
      </c>
      <c r="K6" s="24">
        <f>'Room Information'!C8</f>
        <v>10</v>
      </c>
      <c r="L6" s="16"/>
      <c r="M6" s="25">
        <f>'Bookings Information'!S8</f>
        <v>41434</v>
      </c>
      <c r="N6" s="25" t="str">
        <f ca="1">'Bookings Information'!T8</f>
        <v>18/3/2013</v>
      </c>
      <c r="O6" s="16"/>
      <c r="P6" s="16"/>
      <c r="Q6" s="16"/>
    </row>
    <row r="7" spans="1:20" x14ac:dyDescent="0.25">
      <c r="A7" s="19">
        <f>'Bookings Information'!A9</f>
        <v>0</v>
      </c>
      <c r="B7" s="19" t="str">
        <f>'Bookings Information'!C9</f>
        <v>Ms</v>
      </c>
      <c r="C7" s="19" t="str">
        <f>'Bookings Information'!D9</f>
        <v>Samantha</v>
      </c>
      <c r="D7" s="18" t="str">
        <f>'Bookings Information'!E9</f>
        <v>Blair</v>
      </c>
      <c r="E7" s="18" t="str">
        <f>'Bookings Information'!H9</f>
        <v>85 Afghan Lane</v>
      </c>
      <c r="F7" s="18" t="str">
        <f>'Bookings Information'!I9</f>
        <v>London</v>
      </c>
      <c r="G7" s="18" t="str">
        <f>'Bookings Information'!J9</f>
        <v>Hampshire</v>
      </c>
      <c r="H7" s="18" t="str">
        <f>'Bookings Information'!K9</f>
        <v>England</v>
      </c>
      <c r="I7" s="18" t="str">
        <f>'Bookings Information'!L9</f>
        <v>SY7 8EE</v>
      </c>
      <c r="J7" s="19" t="str">
        <f>'Room Information'!B9</f>
        <v>Double</v>
      </c>
      <c r="K7" s="24">
        <f>'Room Information'!C9</f>
        <v>25</v>
      </c>
      <c r="L7" s="16"/>
      <c r="M7" s="25">
        <f>'Bookings Information'!S9</f>
        <v>41435</v>
      </c>
      <c r="N7" s="25" t="str">
        <f ca="1">'Bookings Information'!T9</f>
        <v>10/12/2013</v>
      </c>
      <c r="O7" s="16"/>
      <c r="P7" s="16"/>
      <c r="Q7" s="16"/>
    </row>
    <row r="8" spans="1:20" x14ac:dyDescent="0.25">
      <c r="A8" s="19">
        <f>'Bookings Information'!A10</f>
        <v>0</v>
      </c>
      <c r="B8" s="19" t="str">
        <f>'Bookings Information'!C10</f>
        <v>Doctor</v>
      </c>
      <c r="C8" s="19" t="str">
        <f>'Bookings Information'!D10</f>
        <v>Paul</v>
      </c>
      <c r="D8" s="18" t="str">
        <f>'Bookings Information'!E10</f>
        <v>Jacobs</v>
      </c>
      <c r="E8" s="18" t="str">
        <f>'Bookings Information'!H10</f>
        <v>32 Chip Avenue</v>
      </c>
      <c r="F8" s="18" t="str">
        <f>'Bookings Information'!I10</f>
        <v>London</v>
      </c>
      <c r="G8" s="18" t="str">
        <f>'Bookings Information'!J10</f>
        <v>Hampshire</v>
      </c>
      <c r="H8" s="18" t="str">
        <f>'Bookings Information'!K10</f>
        <v>England</v>
      </c>
      <c r="I8" s="18" t="str">
        <f>'Bookings Information'!L10</f>
        <v>SY7 8EE</v>
      </c>
      <c r="J8" s="19" t="str">
        <f>'Room Information'!B10</f>
        <v>Twin</v>
      </c>
      <c r="K8" s="24">
        <f>'Room Information'!C10</f>
        <v>10</v>
      </c>
      <c r="L8" s="16"/>
      <c r="M8" s="25">
        <f>'Bookings Information'!S10</f>
        <v>41436</v>
      </c>
      <c r="N8" s="25" t="str">
        <f ca="1">'Bookings Information'!T10</f>
        <v>30/2/2013</v>
      </c>
      <c r="O8" s="16"/>
      <c r="P8" s="16"/>
      <c r="Q8" s="16"/>
    </row>
    <row r="9" spans="1:20" x14ac:dyDescent="0.25">
      <c r="A9" s="19">
        <f>'Bookings Information'!A11</f>
        <v>0</v>
      </c>
      <c r="B9" s="19" t="str">
        <f>'Bookings Information'!C11</f>
        <v>Mrs</v>
      </c>
      <c r="C9" s="19" t="str">
        <f>'Bookings Information'!D11</f>
        <v>Paulina</v>
      </c>
      <c r="D9" s="18" t="str">
        <f>'Bookings Information'!E11</f>
        <v>Jebb</v>
      </c>
      <c r="E9" s="18" t="str">
        <f>'Bookings Information'!H11</f>
        <v>Hampshire Row</v>
      </c>
      <c r="F9" s="18" t="str">
        <f>'Bookings Information'!I11</f>
        <v>London</v>
      </c>
      <c r="G9" s="18" t="str">
        <f>'Bookings Information'!J11</f>
        <v>Hampshire</v>
      </c>
      <c r="H9" s="18" t="str">
        <f>'Bookings Information'!K11</f>
        <v>England</v>
      </c>
      <c r="I9" s="18" t="str">
        <f>'Bookings Information'!L11</f>
        <v>SY7 8EE</v>
      </c>
      <c r="J9" s="19" t="str">
        <f>'Room Information'!B11</f>
        <v>Double</v>
      </c>
      <c r="K9" s="24">
        <f>'Room Information'!C11</f>
        <v>25</v>
      </c>
      <c r="L9" s="16"/>
      <c r="M9" s="25">
        <f>'Bookings Information'!S11</f>
        <v>41437</v>
      </c>
      <c r="N9" s="25" t="str">
        <f ca="1">'Bookings Information'!T11</f>
        <v>26/10/2013</v>
      </c>
      <c r="O9" s="16"/>
      <c r="P9" s="16"/>
      <c r="Q9" s="16"/>
    </row>
    <row r="10" spans="1:20" x14ac:dyDescent="0.25">
      <c r="A10" s="19"/>
      <c r="B10" s="19"/>
      <c r="C10" s="19"/>
      <c r="D10" s="18"/>
      <c r="E10" s="18"/>
      <c r="F10" s="18"/>
      <c r="G10" s="18"/>
      <c r="H10" s="18"/>
      <c r="I10" s="18"/>
      <c r="J10" s="19"/>
      <c r="K10" s="16"/>
      <c r="L10" s="16"/>
      <c r="M10" s="16"/>
      <c r="N10" s="16"/>
      <c r="O10" s="16"/>
      <c r="P10" s="16"/>
      <c r="Q10" s="16"/>
    </row>
    <row r="11" spans="1:20" x14ac:dyDescent="0.25">
      <c r="A11" s="19"/>
      <c r="B11" s="19"/>
      <c r="C11" s="19"/>
      <c r="D11" s="18"/>
      <c r="E11" s="18"/>
      <c r="F11" s="18"/>
      <c r="G11" s="18"/>
      <c r="H11" s="18"/>
      <c r="I11" s="18"/>
      <c r="J11" s="19"/>
      <c r="K11" s="16"/>
      <c r="L11" s="16"/>
      <c r="M11" s="16"/>
      <c r="N11" s="16"/>
      <c r="O11" s="16"/>
      <c r="P11" s="16"/>
      <c r="Q11" s="16"/>
    </row>
    <row r="12" spans="1:20" x14ac:dyDescent="0.25">
      <c r="A12" s="19"/>
      <c r="B12" s="19"/>
      <c r="C12" s="19"/>
      <c r="D12" s="18"/>
      <c r="E12" s="18"/>
      <c r="F12" s="18"/>
      <c r="G12" s="18"/>
      <c r="H12" s="18"/>
      <c r="I12" s="18"/>
      <c r="J12" s="19"/>
      <c r="K12" s="16"/>
      <c r="L12" s="16"/>
      <c r="M12" s="16"/>
      <c r="N12" s="16"/>
      <c r="O12" s="16"/>
      <c r="P12" s="16"/>
      <c r="Q12" s="16"/>
    </row>
    <row r="13" spans="1:20" x14ac:dyDescent="0.25">
      <c r="A13" s="19"/>
      <c r="B13" s="19"/>
      <c r="C13" s="19"/>
      <c r="D13" s="18"/>
      <c r="E13" s="18"/>
      <c r="F13" s="18"/>
      <c r="G13" s="18"/>
      <c r="H13" s="18"/>
      <c r="I13" s="18"/>
      <c r="J13" s="19"/>
      <c r="K13" s="16"/>
      <c r="L13" s="16"/>
      <c r="M13" s="16"/>
      <c r="N13" s="16"/>
      <c r="O13" s="16"/>
      <c r="P13" s="16"/>
      <c r="Q13" s="16"/>
    </row>
    <row r="14" spans="1:20" x14ac:dyDescent="0.25">
      <c r="A14" s="19"/>
      <c r="B14" s="19"/>
      <c r="C14" s="19"/>
      <c r="D14" s="18"/>
      <c r="E14" s="18"/>
      <c r="F14" s="18"/>
      <c r="G14" s="18"/>
      <c r="H14" s="18"/>
      <c r="I14" s="18"/>
      <c r="J14" s="19"/>
      <c r="K14" s="16"/>
      <c r="L14" s="16"/>
      <c r="M14" s="16"/>
      <c r="N14" s="16"/>
      <c r="O14" s="16"/>
      <c r="P14" s="16"/>
      <c r="Q14" s="16"/>
    </row>
    <row r="15" spans="1:20" x14ac:dyDescent="0.25">
      <c r="A15" s="19"/>
      <c r="B15" s="19"/>
      <c r="C15" s="19"/>
      <c r="D15" s="18"/>
      <c r="E15" s="18"/>
      <c r="F15" s="18"/>
      <c r="G15" s="18"/>
      <c r="H15" s="18"/>
      <c r="I15" s="18"/>
      <c r="J15" s="19"/>
      <c r="K15" s="16"/>
      <c r="L15" s="16"/>
      <c r="M15" s="16"/>
      <c r="N15" s="16"/>
      <c r="O15" s="16"/>
      <c r="P15" s="16"/>
      <c r="Q15" s="16"/>
    </row>
    <row r="16" spans="1:20" x14ac:dyDescent="0.25">
      <c r="A16" s="19"/>
      <c r="B16" s="19"/>
      <c r="C16" s="19"/>
      <c r="D16" s="18"/>
      <c r="E16" s="18"/>
      <c r="F16" s="18"/>
      <c r="G16" s="18"/>
      <c r="H16" s="18"/>
      <c r="I16" s="18"/>
      <c r="J16" s="19"/>
      <c r="K16" s="16"/>
      <c r="L16" s="16"/>
      <c r="M16" s="16"/>
      <c r="N16" s="16"/>
      <c r="O16" s="16"/>
      <c r="P16" s="16"/>
      <c r="Q16" s="16"/>
    </row>
    <row r="17" spans="1:17" x14ac:dyDescent="0.25">
      <c r="A17" s="19"/>
      <c r="B17" s="19"/>
      <c r="C17" s="19"/>
      <c r="D17" s="18"/>
      <c r="E17" s="18"/>
      <c r="F17" s="18"/>
      <c r="G17" s="18"/>
      <c r="H17" s="18"/>
      <c r="I17" s="18"/>
      <c r="J17" s="19"/>
      <c r="K17" s="16"/>
      <c r="L17" s="16"/>
      <c r="M17" s="16"/>
      <c r="N17" s="16"/>
      <c r="O17" s="16"/>
      <c r="P17" s="16"/>
      <c r="Q17" s="16"/>
    </row>
    <row r="18" spans="1:17" x14ac:dyDescent="0.25">
      <c r="A18" s="16"/>
      <c r="E18" s="18"/>
      <c r="G18" s="17"/>
    </row>
    <row r="19" spans="1:17" x14ac:dyDescent="0.25">
      <c r="A19" s="16"/>
      <c r="E19" s="18"/>
    </row>
    <row r="20" spans="1:17" x14ac:dyDescent="0.25">
      <c r="A20" s="16"/>
      <c r="E20" s="18"/>
    </row>
    <row r="21" spans="1:17" x14ac:dyDescent="0.25">
      <c r="A21" s="16"/>
      <c r="E21" s="18"/>
    </row>
    <row r="22" spans="1:17" x14ac:dyDescent="0.25">
      <c r="A22" s="16"/>
      <c r="E22" s="18"/>
    </row>
    <row r="23" spans="1:17" x14ac:dyDescent="0.25">
      <c r="A23" s="16"/>
    </row>
    <row r="24" spans="1:17" x14ac:dyDescent="0.25">
      <c r="A24" s="16"/>
    </row>
    <row r="25" spans="1:17" x14ac:dyDescent="0.25">
      <c r="A25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33" sqref="K33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t="e">
        <f>if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Halster B+B</vt:lpstr>
      <vt:lpstr>Customer Information</vt:lpstr>
      <vt:lpstr>Bookings Information</vt:lpstr>
      <vt:lpstr>Room Information</vt:lpstr>
      <vt:lpstr>Monthly Calculations</vt:lpstr>
      <vt:lpstr>Invoice</vt:lpstr>
      <vt:lpstr>p</vt:lpstr>
      <vt:lpstr>Sheet1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2013-05-20T12:01:14Z</dcterms:modified>
</cp:coreProperties>
</file>