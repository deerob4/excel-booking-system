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480" yWindow="75" windowWidth="18195" windowHeight="11760" tabRatio="801" activeTab="3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Finance" sheetId="9" r:id="rId5"/>
    <sheet name="Invoice" sheetId="10" r:id="rId6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M13" i="9" l="1"/>
  <c r="M14" i="9"/>
  <c r="M15" i="9"/>
  <c r="M16" i="9"/>
  <c r="M17" i="9"/>
  <c r="M18" i="9"/>
  <c r="M19" i="9"/>
  <c r="M20" i="9"/>
  <c r="M21" i="9"/>
  <c r="M22" i="9"/>
  <c r="M23" i="9"/>
  <c r="F46" i="9"/>
  <c r="F44" i="9"/>
  <c r="F39" i="9"/>
  <c r="F42" i="9"/>
  <c r="M12" i="9"/>
  <c r="D5" i="9"/>
  <c r="E16" i="9" s="1"/>
  <c r="F16" i="9" s="1"/>
  <c r="C13" i="9"/>
  <c r="C14" i="9"/>
  <c r="C15" i="9"/>
  <c r="C16" i="9"/>
  <c r="C17" i="9"/>
  <c r="C18" i="9"/>
  <c r="C19" i="9"/>
  <c r="C20" i="9"/>
  <c r="C21" i="9"/>
  <c r="C22" i="9"/>
  <c r="C23" i="9"/>
  <c r="C12" i="9"/>
  <c r="E23" i="9" l="1"/>
  <c r="F23" i="9" s="1"/>
  <c r="E19" i="9"/>
  <c r="F19" i="9" s="1"/>
  <c r="E15" i="9"/>
  <c r="F15" i="9" s="1"/>
  <c r="E22" i="9"/>
  <c r="F22" i="9" s="1"/>
  <c r="E18" i="9"/>
  <c r="F18" i="9" s="1"/>
  <c r="E14" i="9"/>
  <c r="F14" i="9" s="1"/>
  <c r="E21" i="9"/>
  <c r="F21" i="9" s="1"/>
  <c r="E17" i="9"/>
  <c r="F17" i="9" s="1"/>
  <c r="E13" i="9"/>
  <c r="F13" i="9" s="1"/>
  <c r="E12" i="9"/>
  <c r="F12" i="9" s="1"/>
  <c r="E20" i="9"/>
  <c r="F20" i="9" s="1"/>
  <c r="D13" i="9"/>
  <c r="D14" i="9"/>
  <c r="D15" i="9"/>
  <c r="D16" i="9"/>
  <c r="D17" i="9"/>
  <c r="D18" i="9"/>
  <c r="D19" i="9"/>
  <c r="D20" i="9"/>
  <c r="D21" i="9"/>
  <c r="D22" i="9"/>
  <c r="D23" i="9"/>
  <c r="D12" i="9"/>
  <c r="S22" i="7"/>
  <c r="Y5" i="7" l="1"/>
  <c r="H5" i="9" l="1"/>
  <c r="W5" i="7"/>
  <c r="H6" i="9" l="1"/>
  <c r="I15" i="9"/>
  <c r="J15" i="9" s="1"/>
  <c r="I19" i="9"/>
  <c r="J19" i="9" s="1"/>
  <c r="I23" i="9"/>
  <c r="J23" i="9" s="1"/>
  <c r="I14" i="9"/>
  <c r="J14" i="9" s="1"/>
  <c r="I18" i="9"/>
  <c r="J18" i="9" s="1"/>
  <c r="I22" i="9"/>
  <c r="J22" i="9" s="1"/>
  <c r="I16" i="9"/>
  <c r="J16" i="9" s="1"/>
  <c r="I20" i="9"/>
  <c r="J20" i="9" s="1"/>
  <c r="I12" i="9"/>
  <c r="J12" i="9" s="1"/>
  <c r="I13" i="9"/>
  <c r="J13" i="9" s="1"/>
  <c r="I17" i="9"/>
  <c r="J17" i="9" s="1"/>
  <c r="I21" i="9"/>
  <c r="J21" i="9" s="1"/>
  <c r="F6" i="7"/>
  <c r="F5" i="9" l="1"/>
  <c r="K2" i="10"/>
  <c r="F6" i="9" l="1"/>
  <c r="F41" i="9" s="1"/>
  <c r="G14" i="9"/>
  <c r="H14" i="9" s="1"/>
  <c r="K14" i="9" s="1"/>
  <c r="G18" i="9"/>
  <c r="H18" i="9" s="1"/>
  <c r="K18" i="9" s="1"/>
  <c r="G22" i="9"/>
  <c r="H22" i="9" s="1"/>
  <c r="K22" i="9" s="1"/>
  <c r="G15" i="9"/>
  <c r="H15" i="9" s="1"/>
  <c r="K15" i="9" s="1"/>
  <c r="G19" i="9"/>
  <c r="H19" i="9" s="1"/>
  <c r="K19" i="9" s="1"/>
  <c r="G23" i="9"/>
  <c r="H23" i="9" s="1"/>
  <c r="K23" i="9" s="1"/>
  <c r="G16" i="9"/>
  <c r="H16" i="9" s="1"/>
  <c r="K16" i="9" s="1"/>
  <c r="G20" i="9"/>
  <c r="H20" i="9" s="1"/>
  <c r="K20" i="9" s="1"/>
  <c r="G12" i="9"/>
  <c r="H12" i="9" s="1"/>
  <c r="K12" i="9" s="1"/>
  <c r="G13" i="9"/>
  <c r="H13" i="9" s="1"/>
  <c r="K13" i="9" s="1"/>
  <c r="G17" i="9"/>
  <c r="H17" i="9" s="1"/>
  <c r="K17" i="9" s="1"/>
  <c r="G21" i="9"/>
  <c r="H21" i="9" s="1"/>
  <c r="K21" i="9" s="1"/>
  <c r="D6" i="9"/>
  <c r="F40" i="9" s="1"/>
  <c r="R3" i="10" l="1"/>
  <c r="R7" i="10"/>
  <c r="R9" i="10"/>
  <c r="W6" i="7"/>
  <c r="R4" i="10" s="1"/>
  <c r="W7" i="7"/>
  <c r="R5" i="10" s="1"/>
  <c r="W8" i="7"/>
  <c r="R6" i="10" s="1"/>
  <c r="W9" i="7"/>
  <c r="W10" i="7"/>
  <c r="R8" i="10" s="1"/>
  <c r="W11" i="7"/>
  <c r="W4" i="7"/>
  <c r="R2" i="10" s="1"/>
  <c r="T3" i="10" l="1"/>
  <c r="T4" i="10"/>
  <c r="T5" i="10"/>
  <c r="T6" i="10"/>
  <c r="T7" i="10"/>
  <c r="T8" i="10"/>
  <c r="T9" i="10"/>
  <c r="N3" i="7" l="1"/>
  <c r="O3" i="7"/>
  <c r="AA11" i="7"/>
  <c r="AA4" i="7"/>
  <c r="AA5" i="7"/>
  <c r="AA6" i="7"/>
  <c r="AA7" i="7"/>
  <c r="AA8" i="7"/>
  <c r="AA9" i="7"/>
  <c r="AA10" i="7"/>
  <c r="U5" i="7"/>
  <c r="U6" i="7"/>
  <c r="U7" i="7"/>
  <c r="U8" i="7"/>
  <c r="U9" i="7"/>
  <c r="U10" i="7"/>
  <c r="U11" i="7"/>
  <c r="U4" i="7"/>
  <c r="R5" i="7"/>
  <c r="R6" i="7"/>
  <c r="R7" i="7"/>
  <c r="R8" i="7"/>
  <c r="R9" i="7"/>
  <c r="R10" i="7"/>
  <c r="M3" i="10" l="1"/>
  <c r="M4" i="10"/>
  <c r="M5" i="10"/>
  <c r="M6" i="10"/>
  <c r="M7" i="10"/>
  <c r="M8" i="10"/>
  <c r="M9" i="10"/>
  <c r="M2" i="10"/>
  <c r="Q3" i="10"/>
  <c r="Q4" i="10"/>
  <c r="Q5" i="10"/>
  <c r="Q6" i="10"/>
  <c r="Q7" i="10"/>
  <c r="Q8" i="10"/>
  <c r="Q9" i="10"/>
  <c r="Q2" i="10"/>
  <c r="P4" i="10"/>
  <c r="P5" i="10"/>
  <c r="P6" i="10"/>
  <c r="P7" i="10"/>
  <c r="P8" i="10"/>
  <c r="P9" i="10"/>
  <c r="P2" i="10"/>
  <c r="O3" i="10"/>
  <c r="O4" i="10"/>
  <c r="O6" i="10"/>
  <c r="O7" i="10"/>
  <c r="O8" i="10"/>
  <c r="O9" i="10"/>
  <c r="O2" i="10"/>
  <c r="AC5" i="7"/>
  <c r="AC6" i="7"/>
  <c r="AC7" i="7"/>
  <c r="AC8" i="7"/>
  <c r="AC9" i="7"/>
  <c r="AC10" i="7"/>
  <c r="AC11" i="7"/>
  <c r="AC4" i="7"/>
  <c r="P3" i="10"/>
  <c r="Y6" i="7"/>
  <c r="Y7" i="7"/>
  <c r="Y8" i="7"/>
  <c r="Y9" i="7"/>
  <c r="Y10" i="7"/>
  <c r="Y11" i="7"/>
  <c r="Y4" i="7"/>
  <c r="O5" i="10" l="1"/>
  <c r="T2" i="10"/>
  <c r="L3" i="10" l="1"/>
  <c r="L4" i="10"/>
  <c r="L5" i="10"/>
  <c r="L6" i="10"/>
  <c r="L7" i="10"/>
  <c r="L8" i="10"/>
  <c r="L9" i="10"/>
  <c r="L2" i="10"/>
  <c r="K1" i="10"/>
  <c r="K3" i="10"/>
  <c r="K4" i="10"/>
  <c r="K5" i="10"/>
  <c r="K6" i="10"/>
  <c r="K7" i="10"/>
  <c r="K8" i="10"/>
  <c r="K9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Q11" i="7" l="1"/>
  <c r="R11" i="7" s="1"/>
  <c r="Q4" i="7"/>
  <c r="R4" i="7" s="1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AD5" i="7" s="1"/>
  <c r="AE5" i="7" s="1"/>
  <c r="S3" i="10" s="1"/>
  <c r="O6" i="7"/>
  <c r="AD6" i="7" s="1"/>
  <c r="AE6" i="7" s="1"/>
  <c r="S4" i="10" s="1"/>
  <c r="O7" i="7"/>
  <c r="AD7" i="7" s="1"/>
  <c r="AE7" i="7" s="1"/>
  <c r="S5" i="10" s="1"/>
  <c r="O8" i="7"/>
  <c r="AD8" i="7" s="1"/>
  <c r="AE8" i="7" s="1"/>
  <c r="S6" i="10" s="1"/>
  <c r="O9" i="7"/>
  <c r="AD9" i="7" s="1"/>
  <c r="AE9" i="7" s="1"/>
  <c r="S7" i="10" s="1"/>
  <c r="O10" i="7"/>
  <c r="AD10" i="7" s="1"/>
  <c r="AE10" i="7" s="1"/>
  <c r="S8" i="10" s="1"/>
  <c r="O11" i="7"/>
  <c r="AD11" i="7" s="1"/>
  <c r="AE11" i="7" s="1"/>
  <c r="S9" i="10" s="1"/>
  <c r="O4" i="7"/>
  <c r="AD4" i="7" s="1"/>
  <c r="AE4" i="7" s="1"/>
  <c r="S2" i="10" s="1"/>
  <c r="L5" i="7"/>
  <c r="I3" i="10" s="1"/>
  <c r="L6" i="7"/>
  <c r="I4" i="10" s="1"/>
  <c r="L7" i="7"/>
  <c r="I5" i="10" s="1"/>
  <c r="L8" i="7"/>
  <c r="I6" i="10" s="1"/>
  <c r="L9" i="7"/>
  <c r="I7" i="10" s="1"/>
  <c r="L10" i="7"/>
  <c r="I8" i="10" s="1"/>
  <c r="L11" i="7"/>
  <c r="I9" i="10" s="1"/>
  <c r="L4" i="7"/>
  <c r="I2" i="10" s="1"/>
  <c r="K5" i="7"/>
  <c r="H3" i="10" s="1"/>
  <c r="K6" i="7"/>
  <c r="H4" i="10" s="1"/>
  <c r="K7" i="7"/>
  <c r="H5" i="10" s="1"/>
  <c r="K8" i="7"/>
  <c r="H6" i="10" s="1"/>
  <c r="K9" i="7"/>
  <c r="H7" i="10" s="1"/>
  <c r="K10" i="7"/>
  <c r="H8" i="10" s="1"/>
  <c r="K11" i="7"/>
  <c r="H9" i="10" s="1"/>
  <c r="K4" i="7"/>
  <c r="H2" i="10" s="1"/>
  <c r="J5" i="7"/>
  <c r="G3" i="10" s="1"/>
  <c r="J6" i="7"/>
  <c r="G4" i="10" s="1"/>
  <c r="J7" i="7"/>
  <c r="G5" i="10" s="1"/>
  <c r="J8" i="7"/>
  <c r="G6" i="10" s="1"/>
  <c r="J9" i="7"/>
  <c r="G7" i="10" s="1"/>
  <c r="J10" i="7"/>
  <c r="G8" i="10" s="1"/>
  <c r="J11" i="7"/>
  <c r="G9" i="10" s="1"/>
  <c r="J4" i="7"/>
  <c r="G2" i="10" s="1"/>
  <c r="I5" i="7"/>
  <c r="F3" i="10" s="1"/>
  <c r="I6" i="7"/>
  <c r="F4" i="10" s="1"/>
  <c r="I7" i="7"/>
  <c r="F5" i="10" s="1"/>
  <c r="I8" i="7"/>
  <c r="F6" i="10" s="1"/>
  <c r="I9" i="7"/>
  <c r="F7" i="10" s="1"/>
  <c r="I10" i="7"/>
  <c r="F8" i="10" s="1"/>
  <c r="I11" i="7"/>
  <c r="F9" i="10" s="1"/>
  <c r="I4" i="7"/>
  <c r="F2" i="10" s="1"/>
  <c r="H5" i="7"/>
  <c r="E3" i="10" s="1"/>
  <c r="H6" i="7"/>
  <c r="E4" i="10" s="1"/>
  <c r="H7" i="7"/>
  <c r="E5" i="10" s="1"/>
  <c r="H8" i="7"/>
  <c r="E6" i="10" s="1"/>
  <c r="H9" i="7"/>
  <c r="E7" i="10" s="1"/>
  <c r="H10" i="7"/>
  <c r="E8" i="10" s="1"/>
  <c r="H11" i="7"/>
  <c r="E9" i="10" s="1"/>
  <c r="H4" i="7"/>
  <c r="E2" i="10" s="1"/>
  <c r="G5" i="7"/>
  <c r="G6" i="7"/>
  <c r="G7" i="7"/>
  <c r="G8" i="7"/>
  <c r="G9" i="7"/>
  <c r="G10" i="7"/>
  <c r="G11" i="7"/>
  <c r="G4" i="7"/>
  <c r="F5" i="7"/>
  <c r="F7" i="7"/>
  <c r="F8" i="7"/>
  <c r="F9" i="7"/>
  <c r="F10" i="7"/>
  <c r="F11" i="7"/>
  <c r="F4" i="7"/>
  <c r="E5" i="7"/>
  <c r="D3" i="10" s="1"/>
  <c r="E6" i="7"/>
  <c r="D4" i="10" s="1"/>
  <c r="E7" i="7"/>
  <c r="D5" i="10" s="1"/>
  <c r="E8" i="7"/>
  <c r="D6" i="10" s="1"/>
  <c r="E9" i="7"/>
  <c r="D7" i="10" s="1"/>
  <c r="E10" i="7"/>
  <c r="D8" i="10" s="1"/>
  <c r="E11" i="7"/>
  <c r="D9" i="10" s="1"/>
  <c r="E4" i="7"/>
  <c r="D2" i="10" s="1"/>
  <c r="D5" i="7"/>
  <c r="C3" i="10" s="1"/>
  <c r="D6" i="7"/>
  <c r="C4" i="10" s="1"/>
  <c r="D7" i="7"/>
  <c r="C5" i="10" s="1"/>
  <c r="D8" i="7"/>
  <c r="C6" i="10" s="1"/>
  <c r="D9" i="7"/>
  <c r="C7" i="10" s="1"/>
  <c r="D10" i="7"/>
  <c r="C8" i="10" s="1"/>
  <c r="D11" i="7"/>
  <c r="C9" i="10" s="1"/>
  <c r="D4" i="7"/>
  <c r="C2" i="10" s="1"/>
  <c r="C4" i="7"/>
  <c r="C5" i="7"/>
  <c r="C6" i="7"/>
  <c r="C7" i="7"/>
  <c r="C8" i="7"/>
  <c r="C9" i="7"/>
  <c r="C10" i="7"/>
  <c r="C11" i="7"/>
  <c r="B9" i="10" l="1"/>
  <c r="N9" i="10"/>
  <c r="B5" i="10"/>
  <c r="N5" i="10"/>
  <c r="B8" i="10"/>
  <c r="N8" i="10"/>
  <c r="B4" i="10"/>
  <c r="N4" i="10"/>
  <c r="B7" i="10"/>
  <c r="N7" i="10"/>
  <c r="B3" i="10"/>
  <c r="N3" i="10"/>
  <c r="B6" i="10"/>
  <c r="N6" i="10"/>
  <c r="B2" i="10"/>
  <c r="N2" i="10"/>
  <c r="P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<sst xmlns="http://schemas.openxmlformats.org/spreadsheetml/2006/main" count="280" uniqueCount="175">
  <si>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</si>
  <si>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</si>
  <si>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</si>
  <si>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</si>
  <si>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</si>
  <si>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</si>
  <si>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</si>
  <si>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</si>
  <si>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</si>
  <si>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</si>
  <si>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</si>
  <si>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</si>
  <si>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</si>
  <si>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</si>
  <si>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</si>
  <si>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</si>
  <si>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</si>
  <si>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</si>
  <si>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</si>
  <si>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</si>
  <si>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</si>
  <si>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</si>
  <si>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</si>
  <si>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</si>
  <si>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</si>
  <si>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</si>
  <si>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</si>
  <si>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</si>
  <si>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</si>
  <si>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</si>
  <si>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</si>
  <si>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</si>
  <si>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</si>
  <si>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</si>
  <si>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</si>
  <si>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</si>
  <si>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</si>
  <si>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</si>
  <si>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</si>
  <si>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</si>
  <si>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</si>
  <si>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</si>
  <si>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</si>
  <si>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</si>
  <si>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</si>
  <si>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</si>
  <si>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</si>
  <si>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</si>
  <si>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</si>
  <si>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</si>
  <si>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</si>
  <si>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</si>
  <si>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</si>
  <si>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</si>
  <si>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</si>
  <si>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</si>
  <si>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</si>
  <si>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</si>
  <si>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</si>
  <si>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</si>
  <si>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</si>
  <si>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</si>
  <si>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</si>
  <si>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</si>
  <si>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</si>
  <si>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</si>
  <si>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</si>
  <si>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</si>
  <si>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</si>
  <si>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</si>
  <si>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</si>
  <si>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</si>
  <si>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</si>
  <si>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</si>
  <si>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</si>
  <si>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</si>
  <si>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</si>
  <si>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</si>
  <si>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</si>
  <si>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</si>
  <si>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</si>
  <si>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</si>
  <si>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</si>
  <si>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</si>
  <si>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</si>
  <si>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</si>
  <si>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</si>
  <si>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</si>
  <si>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</si>
  <si>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</si>
  <si>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</si>
  <si>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</si>
  <si>
    <t>Internet</t>
  </si>
  <si>
    <t>Phone</t>
  </si>
  <si>
    <t>Date</t>
  </si>
  <si>
    <t>BOOK_001</t>
  </si>
  <si>
    <t>BOOK_002</t>
  </si>
  <si>
    <t>BOOK_003</t>
  </si>
  <si>
    <t>BOOK_004</t>
  </si>
  <si>
    <t>BOOK_005</t>
  </si>
  <si>
    <t>BOOK_006</t>
  </si>
  <si>
    <t>BOOK_007</t>
  </si>
  <si>
    <t>BOOK_008</t>
  </si>
  <si>
    <t>Internet Charge</t>
  </si>
  <si>
    <t>Telephone Charge</t>
  </si>
  <si>
    <t>10 Minutes</t>
  </si>
  <si>
    <t>20 Minutes</t>
  </si>
  <si>
    <t>Available</t>
  </si>
  <si>
    <t>Not available</t>
  </si>
  <si>
    <t>Evenings</t>
  </si>
  <si>
    <t>All Day</t>
  </si>
  <si>
    <t>Total Cost</t>
  </si>
  <si>
    <t>Total Room Cost</t>
  </si>
  <si>
    <t>Cleaners</t>
  </si>
  <si>
    <t>Number of Cleaners</t>
  </si>
  <si>
    <t>Current Minimum Wage</t>
  </si>
  <si>
    <t>Hours Per Week</t>
  </si>
  <si>
    <t>Daily Cost</t>
  </si>
  <si>
    <t>Food Services</t>
  </si>
  <si>
    <t>Lunch</t>
  </si>
  <si>
    <t>Breakfast</t>
  </si>
  <si>
    <t>Evening</t>
  </si>
  <si>
    <t>Food Charge</t>
  </si>
  <si>
    <t>No Meals</t>
  </si>
  <si>
    <t>Food</t>
  </si>
  <si>
    <t>Breakfast Cost</t>
  </si>
  <si>
    <t>Lunch Cost</t>
  </si>
  <si>
    <t>Breakfast Customers</t>
  </si>
  <si>
    <t>Lunch Customers</t>
  </si>
  <si>
    <t>Individual Cost</t>
  </si>
  <si>
    <t>Evening Meal Cost</t>
  </si>
  <si>
    <t>Evening Customers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</si>
  <si>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</si>
  <si>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</si>
  <si>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</si>
  <si>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</si>
  <si>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</si>
  <si>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</si>
  <si>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</si>
  <si>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</si>
  <si>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</si>
  <si>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</si>
  <si>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</si>
  <si>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</si>
  <si>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</si>
  <si>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Days in month</t>
  </si>
  <si>
    <t>Monthly cost of cleaners</t>
  </si>
  <si>
    <t>Weekly cost of cleaners</t>
  </si>
  <si>
    <t>Number of breakfasts served</t>
  </si>
  <si>
    <t>Monthly cost of breakfasts</t>
  </si>
  <si>
    <t>Number of lunches served</t>
  </si>
  <si>
    <t>Monthly cost of lunches</t>
  </si>
  <si>
    <t>Monthly cost of evening meals</t>
  </si>
  <si>
    <t>Number of evening meals served</t>
  </si>
  <si>
    <t>Total monthly cost</t>
  </si>
  <si>
    <t>Monthly Expenditure</t>
  </si>
  <si>
    <t>Monthly income</t>
  </si>
  <si>
    <t>Number of rooms booked</t>
  </si>
  <si>
    <t>Total monthly income</t>
  </si>
  <si>
    <t>Cleaning cost per room</t>
  </si>
  <si>
    <t>Breakfast costs per room</t>
  </si>
  <si>
    <t>Overhead costs</t>
  </si>
  <si>
    <t>Total costs</t>
  </si>
  <si>
    <t>Price per room</t>
  </si>
  <si>
    <t>Profit</t>
  </si>
  <si>
    <t>Profit Calculator</t>
  </si>
  <si>
    <t>Internet Costs</t>
  </si>
  <si>
    <t>Cost from provider (monthy - unlimited)</t>
  </si>
  <si>
    <t>Lunch costs per room</t>
  </si>
  <si>
    <t>Evening meal cost per room</t>
  </si>
  <si>
    <t>Telephone costs</t>
  </si>
  <si>
    <t>Cost from provider (monthly)</t>
  </si>
  <si>
    <t>Morning customers</t>
  </si>
  <si>
    <t>Evening customer</t>
  </si>
  <si>
    <t>Afternoon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</si>
</sst>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£&quot;#,##0.00;[Red]\-&quot;£&quot;#,##0.00"/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8" fontId="0" fillId="0" borderId="0" xfId="0" applyNumberFormat="1" applyAlignment="1">
      <alignment horizontal="center"/>
    </xf>
    <xf numFmtId="18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8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164" fontId="0" fillId="0" borderId="1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8" fontId="0" fillId="0" borderId="1" xfId="0" applyNumberFormat="1" applyBorder="1" applyAlignment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8" fontId="0" fillId="0" borderId="1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3" fillId="6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8" fontId="0" fillId="0" borderId="1" xfId="0" applyNumberFormat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" textlink="">
      <xdr:nvSpPr>
        <xdr:cNvPr id="6" name="Rectangle 5">
          <a:hlinkClick xmlns:r="http://schemas.openxmlformats.org/officeDocument/2006/relationships" r:id="rId1"/>
        </xdr:cNvPr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" textlink="">
      <xdr:nvSpPr>
        <xdr:cNvPr id="12" name="Rectangle 11">
          <a:hlinkClick xmlns:r="http://schemas.openxmlformats.org/officeDocument/2006/relationships" r:id="rId2"/>
        </xdr:cNvPr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" textlink="">
      <xdr:nvSpPr>
        <xdr:cNvPr id="13" name="Rectangle 12">
          <a:hlinkClick xmlns:r="http://schemas.openxmlformats.org/officeDocument/2006/relationships" r:id="rId3"/>
        </xdr:cNvPr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" textlink="">
      <xdr:nvSpPr>
        <xdr:cNvPr id="14" name="Rectangle 13">
          <a:hlinkClick xmlns:r="http://schemas.openxmlformats.org/officeDocument/2006/relationships" r:id="rId4"/>
        </xdr:cNvPr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" textlink="">
      <xdr:nvSpPr>
        <xdr:cNvPr id="16" name="Rectangle 15">
          <a:hlinkClick xmlns:r="http://schemas.openxmlformats.org/officeDocument/2006/relationships" r:id="rId5"/>
        </xdr:cNvPr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9525</xdr:rowOff>
    </xdr:from>
    <xdr:to>
      <xdr:col>2</xdr:col>
      <xdr:colOff>209550</xdr:colOff>
      <xdr:row>17</xdr:row>
      <xdr:rowOff>38099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>
          <a:off x="0" y="354330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8</xdr:col>
      <xdr:colOff>844120</xdr:colOff>
      <xdr:row>13</xdr:row>
      <xdr:rowOff>0</xdr:rowOff>
    </xdr:from>
    <xdr:to>
      <xdr:col>21</xdr:col>
      <xdr:colOff>85723</xdr:colOff>
      <xdr:row>17</xdr:row>
      <xdr:rowOff>28574</xdr:rowOff>
    </xdr:to>
    <xdr:sp macro="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9207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6</xdr:col>
      <xdr:colOff>691720</xdr:colOff>
      <xdr:row>13</xdr:row>
      <xdr:rowOff>0</xdr:rowOff>
    </xdr:from>
    <xdr:to>
      <xdr:col>8</xdr:col>
      <xdr:colOff>819148</xdr:colOff>
      <xdr:row>17</xdr:row>
      <xdr:rowOff>28574</xdr:rowOff>
    </xdr:to>
    <xdr:sp macro="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6797245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234520</xdr:colOff>
      <xdr:row>13</xdr:row>
      <xdr:rowOff>9525</xdr:rowOff>
    </xdr:from>
    <xdr:to>
      <xdr:col>4</xdr:col>
      <xdr:colOff>904873</xdr:colOff>
      <xdr:row>17</xdr:row>
      <xdr:rowOff>38099</xdr:rowOff>
    </xdr:to>
    <xdr:sp macro="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1968070" y="354330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4</xdr:col>
      <xdr:colOff>942332</xdr:colOff>
      <xdr:row>13</xdr:row>
      <xdr:rowOff>0</xdr:rowOff>
    </xdr:from>
    <xdr:to>
      <xdr:col>6</xdr:col>
      <xdr:colOff>657224</xdr:colOff>
      <xdr:row>17</xdr:row>
      <xdr:rowOff>28574</xdr:rowOff>
    </xdr:to>
    <xdr:sp macro="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4390382" y="353377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9525</xdr:rowOff>
    </xdr:from>
    <xdr:to>
      <xdr:col>2</xdr:col>
      <xdr:colOff>352425</xdr:colOff>
      <xdr:row>17</xdr:row>
      <xdr:rowOff>38099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354330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9</xdr:col>
      <xdr:colOff>453595</xdr:colOff>
      <xdr:row>13</xdr:row>
      <xdr:rowOff>0</xdr:rowOff>
    </xdr:from>
    <xdr:to>
      <xdr:col>11</xdr:col>
      <xdr:colOff>819148</xdr:colOff>
      <xdr:row>17</xdr:row>
      <xdr:rowOff>28574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9207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177370</xdr:colOff>
      <xdr:row>13</xdr:row>
      <xdr:rowOff>0</xdr:rowOff>
    </xdr:from>
    <xdr:to>
      <xdr:col>9</xdr:col>
      <xdr:colOff>428623</xdr:colOff>
      <xdr:row>17</xdr:row>
      <xdr:rowOff>28574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797245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377395</xdr:colOff>
      <xdr:row>13</xdr:row>
      <xdr:rowOff>9525</xdr:rowOff>
    </xdr:from>
    <xdr:to>
      <xdr:col>5</xdr:col>
      <xdr:colOff>209548</xdr:colOff>
      <xdr:row>17</xdr:row>
      <xdr:rowOff>38099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354330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247007</xdr:colOff>
      <xdr:row>13</xdr:row>
      <xdr:rowOff>0</xdr:rowOff>
    </xdr:from>
    <xdr:to>
      <xdr:col>7</xdr:col>
      <xdr:colOff>142874</xdr:colOff>
      <xdr:row>17</xdr:row>
      <xdr:rowOff>28574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4390382" y="353377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2</xdr:col>
      <xdr:colOff>523875</xdr:colOff>
      <xdr:row>17</xdr:row>
      <xdr:rowOff>28574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3533775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13</xdr:col>
      <xdr:colOff>329770</xdr:colOff>
      <xdr:row>12</xdr:row>
      <xdr:rowOff>180975</xdr:rowOff>
    </xdr:from>
    <xdr:to>
      <xdr:col>17</xdr:col>
      <xdr:colOff>276223</xdr:colOff>
      <xdr:row>17</xdr:row>
      <xdr:rowOff>19049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9207070" y="35242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9</xdr:col>
      <xdr:colOff>358345</xdr:colOff>
      <xdr:row>12</xdr:row>
      <xdr:rowOff>180975</xdr:rowOff>
    </xdr:from>
    <xdr:to>
      <xdr:col>13</xdr:col>
      <xdr:colOff>304798</xdr:colOff>
      <xdr:row>17</xdr:row>
      <xdr:rowOff>19049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797245" y="35242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548845</xdr:colOff>
      <xdr:row>13</xdr:row>
      <xdr:rowOff>0</xdr:rowOff>
    </xdr:from>
    <xdr:to>
      <xdr:col>5</xdr:col>
      <xdr:colOff>352423</xdr:colOff>
      <xdr:row>17</xdr:row>
      <xdr:rowOff>28574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389882</xdr:colOff>
      <xdr:row>12</xdr:row>
      <xdr:rowOff>180975</xdr:rowOff>
    </xdr:from>
    <xdr:to>
      <xdr:col>9</xdr:col>
      <xdr:colOff>323849</xdr:colOff>
      <xdr:row>17</xdr:row>
      <xdr:rowOff>19049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4390382" y="3524250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0</xdr:row>
      <xdr:rowOff>238125</xdr:rowOff>
    </xdr:from>
    <xdr:to>
      <xdr:col>17</xdr:col>
      <xdr:colOff>85725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628650" y="238125"/>
          <a:ext cx="110109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Expenditure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30</xdr:row>
      <xdr:rowOff>123825</xdr:rowOff>
    </xdr:from>
    <xdr:to>
      <xdr:col>1</xdr:col>
      <xdr:colOff>438150</xdr:colOff>
      <xdr:row>34</xdr:row>
      <xdr:rowOff>152399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6829425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30</xdr:row>
      <xdr:rowOff>114300</xdr:rowOff>
    </xdr:from>
    <xdr:to>
      <xdr:col>15</xdr:col>
      <xdr:colOff>38098</xdr:colOff>
      <xdr:row>34</xdr:row>
      <xdr:rowOff>142874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14445820" y="6819900"/>
          <a:ext cx="259440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1158445</xdr:colOff>
      <xdr:row>30</xdr:row>
      <xdr:rowOff>114300</xdr:rowOff>
    </xdr:from>
    <xdr:to>
      <xdr:col>11</xdr:col>
      <xdr:colOff>66673</xdr:colOff>
      <xdr:row>34</xdr:row>
      <xdr:rowOff>142874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11226370" y="6819900"/>
          <a:ext cx="3194478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</xdr:col>
      <xdr:colOff>463120</xdr:colOff>
      <xdr:row>30</xdr:row>
      <xdr:rowOff>123825</xdr:rowOff>
    </xdr:from>
    <xdr:to>
      <xdr:col>5</xdr:col>
      <xdr:colOff>333373</xdr:colOff>
      <xdr:row>34</xdr:row>
      <xdr:rowOff>152399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6829425"/>
          <a:ext cx="5937678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370832</xdr:colOff>
      <xdr:row>30</xdr:row>
      <xdr:rowOff>114300</xdr:rowOff>
    </xdr:from>
    <xdr:to>
      <xdr:col>7</xdr:col>
      <xdr:colOff>1123949</xdr:colOff>
      <xdr:row>34</xdr:row>
      <xdr:rowOff>142874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7943207" y="6819900"/>
          <a:ext cx="32486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180975</xdr:rowOff>
    </xdr:from>
    <xdr:to>
      <xdr:col>2</xdr:col>
      <xdr:colOff>114300</xdr:colOff>
      <xdr:row>14</xdr:row>
      <xdr:rowOff>19049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0" y="1895475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8</xdr:col>
      <xdr:colOff>682195</xdr:colOff>
      <xdr:row>9</xdr:row>
      <xdr:rowOff>171450</xdr:rowOff>
    </xdr:from>
    <xdr:to>
      <xdr:col>11</xdr:col>
      <xdr:colOff>485773</xdr:colOff>
      <xdr:row>14</xdr:row>
      <xdr:rowOff>9524</xdr:rowOff>
    </xdr:to>
    <xdr:sp macro="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9207070" y="18859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6</xdr:col>
      <xdr:colOff>453595</xdr:colOff>
      <xdr:row>9</xdr:row>
      <xdr:rowOff>171450</xdr:rowOff>
    </xdr:from>
    <xdr:to>
      <xdr:col>8</xdr:col>
      <xdr:colOff>657223</xdr:colOff>
      <xdr:row>14</xdr:row>
      <xdr:rowOff>9524</xdr:rowOff>
    </xdr:to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6797245" y="18859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139270</xdr:colOff>
      <xdr:row>9</xdr:row>
      <xdr:rowOff>180975</xdr:rowOff>
    </xdr:from>
    <xdr:to>
      <xdr:col>4</xdr:col>
      <xdr:colOff>19048</xdr:colOff>
      <xdr:row>14</xdr:row>
      <xdr:rowOff>19049</xdr:rowOff>
    </xdr:to>
    <xdr:sp macro="" textlink="">
      <xdr:nvSpPr>
        <xdr:cNvPr id="5" name="Rectangle 4">
          <a:hlinkClick xmlns:r="http://schemas.openxmlformats.org/officeDocument/2006/relationships" r:id="rId4"/>
        </xdr:cNvPr>
        <xdr:cNvSpPr/>
      </xdr:nvSpPr>
      <xdr:spPr>
        <a:xfrm>
          <a:off x="1968070" y="18954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4</xdr:col>
      <xdr:colOff>56507</xdr:colOff>
      <xdr:row>9</xdr:row>
      <xdr:rowOff>171450</xdr:rowOff>
    </xdr:from>
    <xdr:to>
      <xdr:col>6</xdr:col>
      <xdr:colOff>419099</xdr:colOff>
      <xdr:row>14</xdr:row>
      <xdr:rowOff>9524</xdr:rowOff>
    </xdr:to>
    <xdr:sp macro="" textlink="">
      <xdr:nvSpPr>
        <xdr:cNvPr id="6" name="Rectangle 5">
          <a:hlinkClick xmlns:r="http://schemas.openxmlformats.org/officeDocument/2006/relationships" r:id="rId5"/>
        </xdr:cNvPr>
        <xdr:cNvSpPr/>
      </xdr:nvSpPr>
      <xdr:spPr>
        <a:xfrm>
          <a:off x="4390382" y="1885950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foodie@gmail.com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orkbookViewId="0">
      <selection activeCell="I11" sqref="I11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showGridLines="0" workbookViewId="0">
      <selection activeCell="F5" sqref="F5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25" t="s">
        <v>0</v>
      </c>
      <c r="B3" s="25" t="s">
        <v>1</v>
      </c>
      <c r="C3" s="25" t="s">
        <v>2</v>
      </c>
      <c r="D3" s="25" t="s">
        <v>3</v>
      </c>
      <c r="E3" s="25" t="s">
        <v>41</v>
      </c>
      <c r="F3" s="25" t="s">
        <v>42</v>
      </c>
      <c r="G3" s="25" t="s">
        <v>4</v>
      </c>
      <c r="H3" s="25" t="s">
        <v>5</v>
      </c>
      <c r="I3" s="25" t="s">
        <v>6</v>
      </c>
      <c r="J3" s="25" t="s">
        <v>7</v>
      </c>
      <c r="K3" s="25" t="s">
        <v>8</v>
      </c>
      <c r="L3" s="26"/>
      <c r="M3" s="26"/>
      <c r="N3" s="26"/>
      <c r="O3" s="26"/>
      <c r="P3" s="26"/>
      <c r="Q3" s="26"/>
      <c r="R3" s="26"/>
      <c r="S3" s="26"/>
      <c r="T3" s="26"/>
      <c r="U3" s="26"/>
      <c r="V3" s="27" t="s">
        <v>78</v>
      </c>
    </row>
    <row r="4" spans="1:23" x14ac:dyDescent="0.25">
      <c r="A4" s="4" t="s">
        <v>9</v>
      </c>
      <c r="B4" s="4" t="s">
        <v>17</v>
      </c>
      <c r="C4" s="33" t="s">
        <v>18</v>
      </c>
      <c r="D4" s="33" t="s">
        <v>53</v>
      </c>
      <c r="E4" s="34" t="s">
        <v>43</v>
      </c>
      <c r="F4" s="33" t="s">
        <v>44</v>
      </c>
      <c r="G4" s="33" t="s">
        <v>19</v>
      </c>
      <c r="H4" s="33" t="s">
        <v>20</v>
      </c>
      <c r="I4" s="33" t="s">
        <v>21</v>
      </c>
      <c r="J4" s="33" t="s">
        <v>22</v>
      </c>
      <c r="K4" s="33" t="s">
        <v>23</v>
      </c>
      <c r="V4" s="7"/>
    </row>
    <row r="5" spans="1:23" x14ac:dyDescent="0.25">
      <c r="A5" s="4" t="s">
        <v>10</v>
      </c>
      <c r="B5" s="4" t="s">
        <v>24</v>
      </c>
      <c r="C5" s="33" t="s">
        <v>26</v>
      </c>
      <c r="D5" s="33" t="s">
        <v>25</v>
      </c>
      <c r="E5" s="34" t="s">
        <v>55</v>
      </c>
      <c r="F5" s="33" t="s">
        <v>45</v>
      </c>
      <c r="G5" s="33" t="s">
        <v>27</v>
      </c>
      <c r="H5" s="33" t="s">
        <v>28</v>
      </c>
      <c r="I5" s="33" t="s">
        <v>29</v>
      </c>
      <c r="J5" s="33" t="s">
        <v>22</v>
      </c>
      <c r="K5" s="33" t="s">
        <v>23</v>
      </c>
      <c r="V5" s="7"/>
    </row>
    <row r="6" spans="1:23" x14ac:dyDescent="0.25">
      <c r="A6" s="4" t="s">
        <v>11</v>
      </c>
      <c r="B6" s="4" t="s">
        <v>30</v>
      </c>
      <c r="C6" s="33" t="s">
        <v>31</v>
      </c>
      <c r="D6" s="33" t="s">
        <v>32</v>
      </c>
      <c r="E6" s="34" t="s">
        <v>43</v>
      </c>
      <c r="F6" s="33" t="s">
        <v>46</v>
      </c>
      <c r="G6" s="33" t="s">
        <v>33</v>
      </c>
      <c r="H6" s="33" t="s">
        <v>34</v>
      </c>
      <c r="I6" s="33" t="s">
        <v>35</v>
      </c>
      <c r="J6" s="33" t="s">
        <v>22</v>
      </c>
      <c r="K6" s="33" t="s">
        <v>23</v>
      </c>
      <c r="V6" s="7"/>
    </row>
    <row r="7" spans="1:23" x14ac:dyDescent="0.25">
      <c r="A7" s="4" t="s">
        <v>12</v>
      </c>
      <c r="B7" s="4" t="s">
        <v>36</v>
      </c>
      <c r="C7" s="33" t="s">
        <v>37</v>
      </c>
      <c r="D7" s="33" t="s">
        <v>38</v>
      </c>
      <c r="E7" s="34" t="s">
        <v>55</v>
      </c>
      <c r="F7" s="33" t="s">
        <v>47</v>
      </c>
      <c r="G7" s="33" t="s">
        <v>39</v>
      </c>
      <c r="H7" s="33" t="s">
        <v>20</v>
      </c>
      <c r="I7" s="33" t="s">
        <v>40</v>
      </c>
      <c r="J7" s="33" t="s">
        <v>22</v>
      </c>
      <c r="K7" s="33" t="s">
        <v>23</v>
      </c>
      <c r="V7" s="7"/>
    </row>
    <row r="8" spans="1:23" x14ac:dyDescent="0.25">
      <c r="A8" s="4" t="s">
        <v>13</v>
      </c>
      <c r="B8" s="4" t="s">
        <v>30</v>
      </c>
      <c r="C8" s="33" t="s">
        <v>52</v>
      </c>
      <c r="D8" s="33" t="s">
        <v>53</v>
      </c>
      <c r="E8" s="34" t="s">
        <v>43</v>
      </c>
      <c r="F8" s="33" t="s">
        <v>48</v>
      </c>
      <c r="G8" s="33" t="s">
        <v>54</v>
      </c>
      <c r="H8" s="33" t="s">
        <v>57</v>
      </c>
      <c r="I8" s="33" t="s">
        <v>56</v>
      </c>
      <c r="J8" s="33" t="s">
        <v>22</v>
      </c>
      <c r="K8" s="33" t="s">
        <v>23</v>
      </c>
      <c r="V8" s="7"/>
    </row>
    <row r="9" spans="1:23" x14ac:dyDescent="0.25">
      <c r="A9" s="4" t="s">
        <v>14</v>
      </c>
      <c r="B9" s="4" t="s">
        <v>17</v>
      </c>
      <c r="C9" s="33" t="s">
        <v>18</v>
      </c>
      <c r="D9" s="33" t="s">
        <v>53</v>
      </c>
      <c r="E9" s="34" t="s">
        <v>55</v>
      </c>
      <c r="F9" s="33" t="s">
        <v>49</v>
      </c>
      <c r="G9" s="33" t="s">
        <v>19</v>
      </c>
      <c r="H9" s="33" t="s">
        <v>20</v>
      </c>
      <c r="I9" s="33" t="s">
        <v>40</v>
      </c>
      <c r="J9" s="33" t="s">
        <v>22</v>
      </c>
      <c r="K9" s="33" t="s">
        <v>23</v>
      </c>
      <c r="V9" s="7"/>
    </row>
    <row r="10" spans="1:23" x14ac:dyDescent="0.25">
      <c r="A10" s="4" t="s">
        <v>15</v>
      </c>
      <c r="B10" s="4" t="s">
        <v>30</v>
      </c>
      <c r="C10" s="33" t="s">
        <v>31</v>
      </c>
      <c r="D10" s="33" t="s">
        <v>32</v>
      </c>
      <c r="E10" s="34" t="s">
        <v>43</v>
      </c>
      <c r="F10" s="33" t="s">
        <v>50</v>
      </c>
      <c r="G10" s="33" t="s">
        <v>33</v>
      </c>
      <c r="H10" s="33" t="s">
        <v>20</v>
      </c>
      <c r="I10" s="33" t="s">
        <v>40</v>
      </c>
      <c r="J10" s="33" t="s">
        <v>22</v>
      </c>
      <c r="K10" s="33" t="s">
        <v>23</v>
      </c>
      <c r="V10" s="8"/>
    </row>
    <row r="11" spans="1:23" x14ac:dyDescent="0.25">
      <c r="A11" s="4" t="s">
        <v>16</v>
      </c>
      <c r="B11" s="4" t="s">
        <v>24</v>
      </c>
      <c r="C11" s="33" t="s">
        <v>26</v>
      </c>
      <c r="D11" s="33" t="s">
        <v>25</v>
      </c>
      <c r="E11" s="34" t="s">
        <v>55</v>
      </c>
      <c r="F11" s="33" t="s">
        <v>51</v>
      </c>
      <c r="G11" s="33" t="s">
        <v>54</v>
      </c>
      <c r="H11" s="33" t="s">
        <v>20</v>
      </c>
      <c r="I11" s="33" t="s">
        <v>40</v>
      </c>
      <c r="J11" s="33" t="s">
        <v>22</v>
      </c>
      <c r="K11" s="33" t="s">
        <v>23</v>
      </c>
      <c r="V11" s="8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pageSetup paperSize="9" orientation="portrait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E31"/>
  <sheetViews>
    <sheetView showGridLines="0" topLeftCell="T1" zoomScaleNormal="100" workbookViewId="0">
      <selection activeCell="T7" sqref="T7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6.7109375" bestFit="1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3" width="16.85546875" customWidth="1"/>
    <col min="24" max="24" width="18.28515625" bestFit="1" customWidth="1"/>
    <col min="25" max="25" width="15.42578125" bestFit="1" customWidth="1"/>
    <col min="26" max="27" width="15.85546875" customWidth="1"/>
    <col min="28" max="28" width="17" bestFit="1" customWidth="1"/>
    <col min="29" max="30" width="17" customWidth="1"/>
    <col min="31" max="31" width="15.42578125" customWidth="1"/>
  </cols>
  <sheetData>
    <row r="1" spans="1:31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20.25" customHeight="1" x14ac:dyDescent="0.25">
      <c r="A3" s="25" t="s">
        <v>72</v>
      </c>
      <c r="B3" s="25" t="s">
        <v>0</v>
      </c>
      <c r="C3" s="25" t="s">
        <v>1</v>
      </c>
      <c r="D3" s="25" t="s">
        <v>2</v>
      </c>
      <c r="E3" s="25" t="s">
        <v>3</v>
      </c>
      <c r="F3" s="25" t="s">
        <v>41</v>
      </c>
      <c r="G3" s="25" t="s">
        <v>42</v>
      </c>
      <c r="H3" s="25" t="s">
        <v>4</v>
      </c>
      <c r="I3" s="25" t="s">
        <v>5</v>
      </c>
      <c r="J3" s="25" t="s">
        <v>6</v>
      </c>
      <c r="K3" s="25" t="s">
        <v>7</v>
      </c>
      <c r="L3" s="25" t="s">
        <v>8</v>
      </c>
      <c r="M3" s="25" t="str">
        <f>'Room Information'!A3</f>
        <v>Room ID</v>
      </c>
      <c r="N3" s="25" t="str">
        <f>'Room Information'!B3</f>
        <v>Room Type</v>
      </c>
      <c r="O3" s="25" t="str">
        <f>CONCATENATE("Initial ",'Room Information'!C3)</f>
        <v>Initial Room Price</v>
      </c>
      <c r="P3" s="25" t="str">
        <f>'Room Information'!D3</f>
        <v>Room Availability</v>
      </c>
      <c r="Q3" s="25" t="s">
        <v>76</v>
      </c>
      <c r="R3" s="25" t="s">
        <v>77</v>
      </c>
      <c r="S3" s="25" t="s">
        <v>73</v>
      </c>
      <c r="T3" s="25" t="s">
        <v>74</v>
      </c>
      <c r="U3" s="25" t="s">
        <v>75</v>
      </c>
      <c r="V3" s="25" t="s">
        <v>118</v>
      </c>
      <c r="W3" s="25" t="s">
        <v>122</v>
      </c>
      <c r="X3" s="25" t="s">
        <v>79</v>
      </c>
      <c r="Y3" s="25" t="s">
        <v>91</v>
      </c>
      <c r="Z3" s="25" t="s">
        <v>80</v>
      </c>
      <c r="AA3" s="25" t="s">
        <v>103</v>
      </c>
      <c r="AB3" s="25" t="s">
        <v>81</v>
      </c>
      <c r="AC3" s="25" t="s">
        <v>104</v>
      </c>
      <c r="AD3" s="25" t="s">
        <v>112</v>
      </c>
      <c r="AE3" s="25" t="s">
        <v>111</v>
      </c>
    </row>
    <row r="4" spans="1:31" x14ac:dyDescent="0.25">
      <c r="A4" s="31" t="s">
        <v>95</v>
      </c>
      <c r="B4" s="31" t="s">
        <v>10</v>
      </c>
      <c r="C4" s="30" t="str">
        <f>VLOOKUP(B4,'Customer Information'!$A$4:$K$11,2,FALSE)</f>
        <v>Mrs</v>
      </c>
      <c r="D4" s="30" t="str">
        <f>VLOOKUP(B4,'Customer Information'!$A$4:$K$11,3,FALSE)</f>
        <v>Paulina</v>
      </c>
      <c r="E4" s="30" t="str">
        <f>VLOOKUP(B4,'Customer Information'!$A$4:$K$11,4,FALSE)</f>
        <v>Jebb</v>
      </c>
      <c r="F4" s="30" t="str">
        <f>VLOOKUP(B4,'Customer Information'!$A$4:$K$11,5,FALSE)</f>
        <v>foodie@gmail.com</v>
      </c>
      <c r="G4" s="30" t="str">
        <f>VLOOKUP(B4,'Customer Information'!$A$4:$K$11,6,FALSE)</f>
        <v>87864 345679</v>
      </c>
      <c r="H4" s="30" t="str">
        <f>VLOOKUP(B4,'Customer Information'!$A$4:$K$11,7,FALSE)</f>
        <v>97 Salmon Street</v>
      </c>
      <c r="I4" s="30" t="str">
        <f>VLOOKUP(B4,'Customer Information'!$A$4:$K$11,8,FALSE)</f>
        <v>Cheshire</v>
      </c>
      <c r="J4" s="30" t="str">
        <f>VLOOKUP(B4,'Customer Information'!$A$4:$K$11,9,FALSE)</f>
        <v>Ingoo Plaza</v>
      </c>
      <c r="K4" s="30" t="str">
        <f>VLOOKUP(B4,'Customer Information'!$A$4:$K$11,10,FALSE)</f>
        <v>England</v>
      </c>
      <c r="L4" s="30" t="str">
        <f>VLOOKUP(B4,'Customer Information'!$A$4:$K$11,11,FALSE)</f>
        <v>SY7 8EE</v>
      </c>
      <c r="M4" s="31" t="s">
        <v>59</v>
      </c>
      <c r="N4" s="30" t="str">
        <f>VLOOKUP(M4,'Room Information'!$A$4:$D$11,2,FALSE)</f>
        <v>Twin</v>
      </c>
      <c r="O4" s="35">
        <f>VLOOKUP(M4,'Room Information'!$A$4:$D$11,3,FALSE)</f>
        <v>10</v>
      </c>
      <c r="P4" s="30" t="str">
        <f>VLOOKUP(M4,'Room Information'!$A$4:$D$11,4,FALSE)</f>
        <v>Available</v>
      </c>
      <c r="Q4" s="36">
        <f ca="1">TODAY()</f>
        <v>41562</v>
      </c>
      <c r="R4" s="30" t="str">
        <f ca="1">CONCATENATE(S4-Q4," Days")</f>
        <v>34 Days</v>
      </c>
      <c r="S4" s="36">
        <v>41596</v>
      </c>
      <c r="T4" s="36">
        <v>41603</v>
      </c>
      <c r="U4" s="5">
        <f>T4-S4</f>
        <v>7</v>
      </c>
      <c r="V4" s="31" t="s">
        <v>120</v>
      </c>
      <c r="W4" s="5" t="str">
        <f>IF(V4="Lunch","£5.00",IF(V4="Breakfast","£2.50",IF(V4="Evening","£6.50",IF(V4="All Meals","£10.00",IF(V4="No Meals","£0.00")))))</f>
        <v>£2.50</v>
      </c>
      <c r="X4" s="31" t="s">
        <v>84</v>
      </c>
      <c r="Y4" s="5" t="str">
        <f>IF(X4="Room Only","£5.00",IF(X4="Full Service","£10.00",IF(X4="Clothes Only","£3.00")))</f>
        <v>£3.00</v>
      </c>
      <c r="Z4" s="31" t="s">
        <v>86</v>
      </c>
      <c r="AA4" s="19" t="str">
        <f t="shared" ref="AA4:AA11" si="0">IF(Z4="Evenings","£5.00",IF(Z4="Mornings","£3.00",IF(Z4="All hours","£10.00",IF(Z4="Afternoons","£4.50"))))</f>
        <v>£3.00</v>
      </c>
      <c r="AB4" s="31" t="s">
        <v>105</v>
      </c>
      <c r="AC4" s="5" t="str">
        <f>IF(AB4="10 Minutes","£1.50",IF(AB4="20 Minutes","£3.00",IF(AB4="30 Minutes","£4.50",IF(AB4="All Day","£10.00"))))</f>
        <v>£1.50</v>
      </c>
      <c r="AD4" s="19">
        <f>U4*O4</f>
        <v>70</v>
      </c>
      <c r="AE4" s="6">
        <f>Y4+AA4+AC4+AD4+W4</f>
        <v>80</v>
      </c>
    </row>
    <row r="5" spans="1:31" x14ac:dyDescent="0.25">
      <c r="A5" s="31" t="s">
        <v>96</v>
      </c>
      <c r="B5" s="31" t="s">
        <v>10</v>
      </c>
      <c r="C5" s="30" t="str">
        <f>VLOOKUP(B5,'Customer Information'!$A$4:$K$11,2,FALSE)</f>
        <v>Mrs</v>
      </c>
      <c r="D5" s="30" t="str">
        <f>VLOOKUP(B5,'Customer Information'!$A$4:$K$11,3,FALSE)</f>
        <v>Paulina</v>
      </c>
      <c r="E5" s="30" t="str">
        <f>VLOOKUP(B5,'Customer Information'!$A$4:$K$11,4,FALSE)</f>
        <v>Jebb</v>
      </c>
      <c r="F5" s="30" t="str">
        <f>VLOOKUP(B5,'Customer Information'!$A$4:$K$11,5,FALSE)</f>
        <v>foodie@gmail.com</v>
      </c>
      <c r="G5" s="30" t="str">
        <f>VLOOKUP(B5,'Customer Information'!$A$4:$K$11,6,FALSE)</f>
        <v>87864 345679</v>
      </c>
      <c r="H5" s="30" t="str">
        <f>VLOOKUP(B5,'Customer Information'!$A$4:$K$11,7,FALSE)</f>
        <v>97 Salmon Street</v>
      </c>
      <c r="I5" s="30" t="str">
        <f>VLOOKUP(B5,'Customer Information'!$A$4:$K$11,8,FALSE)</f>
        <v>Cheshire</v>
      </c>
      <c r="J5" s="30" t="str">
        <f>VLOOKUP(B5,'Customer Information'!$A$4:$K$11,9,FALSE)</f>
        <v>Ingoo Plaza</v>
      </c>
      <c r="K5" s="30" t="str">
        <f>VLOOKUP(B5,'Customer Information'!$A$4:$K$11,10,FALSE)</f>
        <v>England</v>
      </c>
      <c r="L5" s="30" t="str">
        <f>VLOOKUP(B5,'Customer Information'!$A$4:$K$11,11,FALSE)</f>
        <v>SY7 8EE</v>
      </c>
      <c r="M5" s="31" t="s">
        <v>60</v>
      </c>
      <c r="N5" s="30" t="str">
        <f>VLOOKUP(M5,'Room Information'!$A$4:$D$11,2,FALSE)</f>
        <v>Double</v>
      </c>
      <c r="O5" s="35">
        <f>VLOOKUP(M5,'Room Information'!$A$4:$D$11,3,FALSE)</f>
        <v>10</v>
      </c>
      <c r="P5" s="30" t="str">
        <f>VLOOKUP(M5,'Room Information'!$A$4:$D$11,4,FALSE)</f>
        <v>Available</v>
      </c>
      <c r="Q5" s="36">
        <v>41437</v>
      </c>
      <c r="R5" s="30" t="str">
        <f t="shared" ref="R5:R11" si="1">CONCATENATE(S5-Q5," Days")</f>
        <v>54 Days</v>
      </c>
      <c r="S5" s="36">
        <v>41491</v>
      </c>
      <c r="T5" s="36">
        <v>41492</v>
      </c>
      <c r="U5" s="5">
        <f t="shared" ref="U5:U11" si="2">T5-S5</f>
        <v>1</v>
      </c>
      <c r="V5" s="31" t="s">
        <v>120</v>
      </c>
      <c r="W5" s="5" t="str">
        <f>IF(V5="Lunch","£5.00",IF(V5="Breakfast","£2.50",IF(V5="Evening","£6.50",IF(V5="All Meals","£10.00",IF(V5="No Meals","£0.00")))))</f>
        <v>£2.50</v>
      </c>
      <c r="X5" s="31" t="s">
        <v>83</v>
      </c>
      <c r="Y5" s="5" t="str">
        <f t="shared" ref="Y5:Y11" si="3">IF(X5="Room Only","£5.00",IF(X5="Full Service","£10.00",IF(X5="Clothes Only","£3.00")))</f>
        <v>£5.00</v>
      </c>
      <c r="Z5" s="31" t="s">
        <v>109</v>
      </c>
      <c r="AA5" s="19" t="str">
        <f t="shared" si="0"/>
        <v>£5.00</v>
      </c>
      <c r="AB5" s="31" t="s">
        <v>105</v>
      </c>
      <c r="AC5" s="5" t="str">
        <f t="shared" ref="AC5:AC11" si="4">IF(AB5="10 Minutes","£1.50",IF(AB5="20 Minutes","£3.00",IF(AB5="30 Minutes","£4.50",IF(AB5="All Day","£10.00"))))</f>
        <v>£1.50</v>
      </c>
      <c r="AD5" s="19">
        <f t="shared" ref="AD5:AD11" si="5">U5*O5</f>
        <v>10</v>
      </c>
      <c r="AE5" s="6">
        <f t="shared" ref="AE5:AE11" si="6">Y5+AA5+AC5+AD5+W5</f>
        <v>24</v>
      </c>
    </row>
    <row r="6" spans="1:31" x14ac:dyDescent="0.25">
      <c r="A6" s="31" t="s">
        <v>97</v>
      </c>
      <c r="B6" s="31" t="s">
        <v>11</v>
      </c>
      <c r="C6" s="30" t="str">
        <f>VLOOKUP(B6,'Customer Information'!$A$4:$K$11,2,FALSE)</f>
        <v>Doctor</v>
      </c>
      <c r="D6" s="30" t="str">
        <f>VLOOKUP(B6,'Customer Information'!$A$4:$K$11,3,FALSE)</f>
        <v>Paul</v>
      </c>
      <c r="E6" s="30" t="str">
        <f>VLOOKUP(B6,'Customer Information'!$A$4:$K$11,4,FALSE)</f>
        <v>Jacobs</v>
      </c>
      <c r="F6" s="30" t="str">
        <f>VLOOKUP(B6,'Customer Information'!$A$4:$K$11,5,FALSE)</f>
        <v>iraq@gov.com</v>
      </c>
      <c r="G6" s="30" t="str">
        <f>VLOOKUP(B6,'Customer Information'!$A$4:$K$11,6,FALSE)</f>
        <v>87864 345680</v>
      </c>
      <c r="H6" s="30" t="str">
        <f>VLOOKUP(B6,'Customer Information'!$A$4:$K$11,7,FALSE)</f>
        <v>32 Chip Avenue</v>
      </c>
      <c r="I6" s="30" t="str">
        <f>VLOOKUP(B6,'Customer Information'!$A$4:$K$11,8,FALSE)</f>
        <v>Birmingham</v>
      </c>
      <c r="J6" s="30" t="str">
        <f>VLOOKUP(B6,'Customer Information'!$A$4:$K$11,9,FALSE)</f>
        <v>The Bullring</v>
      </c>
      <c r="K6" s="30" t="str">
        <f>VLOOKUP(B6,'Customer Information'!$A$4:$K$11,10,FALSE)</f>
        <v>England</v>
      </c>
      <c r="L6" s="30" t="str">
        <f>VLOOKUP(B6,'Customer Information'!$A$4:$K$11,11,FALSE)</f>
        <v>SY7 8EE</v>
      </c>
      <c r="M6" s="31" t="s">
        <v>59</v>
      </c>
      <c r="N6" s="30" t="str">
        <f>VLOOKUP(M6,'Room Information'!$A$4:$D$11,2,FALSE)</f>
        <v>Twin</v>
      </c>
      <c r="O6" s="35">
        <f>VLOOKUP(M6,'Room Information'!$A$4:$D$11,3,FALSE)</f>
        <v>10</v>
      </c>
      <c r="P6" s="30" t="str">
        <f>VLOOKUP(M6,'Room Information'!$A$4:$D$11,4,FALSE)</f>
        <v>Available</v>
      </c>
      <c r="Q6" s="36">
        <v>41283</v>
      </c>
      <c r="R6" s="30" t="str">
        <f t="shared" si="1"/>
        <v>149 Days</v>
      </c>
      <c r="S6" s="36">
        <v>41432</v>
      </c>
      <c r="T6" s="36">
        <v>41463</v>
      </c>
      <c r="U6" s="5">
        <f t="shared" si="2"/>
        <v>31</v>
      </c>
      <c r="V6" s="31" t="s">
        <v>123</v>
      </c>
      <c r="W6" s="5" t="str">
        <f t="shared" ref="W6:W11" si="7">IF(V6="Lunch","£5.00",IF(V6="Breakfast","£2.50",IF(V6="Evening","£6.50",IF(V6="All Meals","£10.00",IF(V6="No Meals","£0.00")))))</f>
        <v>£0.00</v>
      </c>
      <c r="X6" s="31" t="s">
        <v>82</v>
      </c>
      <c r="Y6" s="5" t="str">
        <f t="shared" si="3"/>
        <v>£10.00</v>
      </c>
      <c r="Z6" s="31" t="s">
        <v>109</v>
      </c>
      <c r="AA6" s="19" t="str">
        <f t="shared" si="0"/>
        <v>£5.00</v>
      </c>
      <c r="AB6" s="31" t="s">
        <v>106</v>
      </c>
      <c r="AC6" s="5" t="str">
        <f t="shared" si="4"/>
        <v>£3.00</v>
      </c>
      <c r="AD6" s="19">
        <f t="shared" si="5"/>
        <v>310</v>
      </c>
      <c r="AE6" s="6">
        <f t="shared" si="6"/>
        <v>328</v>
      </c>
    </row>
    <row r="7" spans="1:31" x14ac:dyDescent="0.25">
      <c r="A7" s="31" t="s">
        <v>98</v>
      </c>
      <c r="B7" s="31" t="s">
        <v>12</v>
      </c>
      <c r="C7" s="30" t="str">
        <f>VLOOKUP(B7,'Customer Information'!$A$4:$K$11,2,FALSE)</f>
        <v>Lord</v>
      </c>
      <c r="D7" s="30" t="str">
        <f>VLOOKUP(B7,'Customer Information'!$A$4:$K$11,3,FALSE)</f>
        <v>Alan</v>
      </c>
      <c r="E7" s="30" t="str">
        <f>VLOOKUP(B7,'Customer Information'!$A$4:$K$11,4,FALSE)</f>
        <v>Sugar</v>
      </c>
      <c r="F7" s="30" t="str">
        <f>VLOOKUP(B7,'Customer Information'!$A$4:$K$11,5,FALSE)</f>
        <v>foodie@gmail.com</v>
      </c>
      <c r="G7" s="30" t="str">
        <f>VLOOKUP(B7,'Customer Information'!$A$4:$K$11,6,FALSE)</f>
        <v>87864 345681</v>
      </c>
      <c r="H7" s="30" t="str">
        <f>VLOOKUP(B7,'Customer Information'!$A$4:$K$11,7,FALSE)</f>
        <v>12 Youview Lane</v>
      </c>
      <c r="I7" s="30" t="str">
        <f>VLOOKUP(B7,'Customer Information'!$A$4:$K$11,8,FALSE)</f>
        <v>London</v>
      </c>
      <c r="J7" s="30" t="str">
        <f>VLOOKUP(B7,'Customer Information'!$A$4:$K$11,9,FALSE)</f>
        <v>Hampshire</v>
      </c>
      <c r="K7" s="30" t="str">
        <f>VLOOKUP(B7,'Customer Information'!$A$4:$K$11,10,FALSE)</f>
        <v>England</v>
      </c>
      <c r="L7" s="30" t="str">
        <f>VLOOKUP(B7,'Customer Information'!$A$4:$K$11,11,FALSE)</f>
        <v>SY7 8EE</v>
      </c>
      <c r="M7" s="31" t="s">
        <v>62</v>
      </c>
      <c r="N7" s="30" t="str">
        <f>VLOOKUP(M7,'Room Information'!$A$4:$D$11,2,FALSE)</f>
        <v>Double</v>
      </c>
      <c r="O7" s="35">
        <f>VLOOKUP(M7,'Room Information'!$A$4:$D$11,3,FALSE)</f>
        <v>10</v>
      </c>
      <c r="P7" s="30" t="str">
        <f>VLOOKUP(M7,'Room Information'!$A$4:$D$11,4,FALSE)</f>
        <v>Available</v>
      </c>
      <c r="Q7" s="36">
        <v>41289</v>
      </c>
      <c r="R7" s="30" t="str">
        <f t="shared" si="1"/>
        <v>345 Days</v>
      </c>
      <c r="S7" s="36">
        <v>41634</v>
      </c>
      <c r="T7" s="36">
        <v>41640</v>
      </c>
      <c r="U7" s="5">
        <f t="shared" si="2"/>
        <v>6</v>
      </c>
      <c r="V7" s="31" t="s">
        <v>119</v>
      </c>
      <c r="W7" s="5" t="str">
        <f t="shared" si="7"/>
        <v>£5.00</v>
      </c>
      <c r="X7" s="31" t="s">
        <v>82</v>
      </c>
      <c r="Y7" s="5" t="str">
        <f t="shared" si="3"/>
        <v>£10.00</v>
      </c>
      <c r="Z7" s="31" t="s">
        <v>88</v>
      </c>
      <c r="AA7" s="19" t="str">
        <f t="shared" si="0"/>
        <v>£4.50</v>
      </c>
      <c r="AB7" s="31" t="s">
        <v>110</v>
      </c>
      <c r="AC7" s="5" t="str">
        <f t="shared" si="4"/>
        <v>£10.00</v>
      </c>
      <c r="AD7" s="19">
        <f t="shared" si="5"/>
        <v>60</v>
      </c>
      <c r="AE7" s="6">
        <f t="shared" si="6"/>
        <v>89.5</v>
      </c>
    </row>
    <row r="8" spans="1:31" x14ac:dyDescent="0.25">
      <c r="A8" s="31" t="s">
        <v>99</v>
      </c>
      <c r="B8" s="31" t="s">
        <v>13</v>
      </c>
      <c r="C8" s="30" t="str">
        <f>VLOOKUP(B8,'Customer Information'!$A$4:$K$11,2,FALSE)</f>
        <v>Doctor</v>
      </c>
      <c r="D8" s="30" t="str">
        <f>VLOOKUP(B8,'Customer Information'!$A$4:$K$11,3,FALSE)</f>
        <v>Tony</v>
      </c>
      <c r="E8" s="30" t="str">
        <f>VLOOKUP(B8,'Customer Information'!$A$4:$K$11,4,FALSE)</f>
        <v>Blair</v>
      </c>
      <c r="F8" s="30" t="str">
        <f>VLOOKUP(B8,'Customer Information'!$A$4:$K$11,5,FALSE)</f>
        <v>iraq@gov.com</v>
      </c>
      <c r="G8" s="30" t="str">
        <f>VLOOKUP(B8,'Customer Information'!$A$4:$K$11,6,FALSE)</f>
        <v>87864 345682</v>
      </c>
      <c r="H8" s="30" t="str">
        <f>VLOOKUP(B8,'Customer Information'!$A$4:$K$11,7,FALSE)</f>
        <v>Hampshire Row</v>
      </c>
      <c r="I8" s="30" t="str">
        <f>VLOOKUP(B8,'Customer Information'!$A$4:$K$11,8,FALSE)</f>
        <v>Reading</v>
      </c>
      <c r="J8" s="30" t="str">
        <f>VLOOKUP(B8,'Customer Information'!$A$4:$K$11,9,FALSE)</f>
        <v xml:space="preserve"> Train Station</v>
      </c>
      <c r="K8" s="30" t="str">
        <f>VLOOKUP(B8,'Customer Information'!$A$4:$K$11,10,FALSE)</f>
        <v>England</v>
      </c>
      <c r="L8" s="30" t="str">
        <f>VLOOKUP(B8,'Customer Information'!$A$4:$K$11,11,FALSE)</f>
        <v>SY7 8EE</v>
      </c>
      <c r="M8" s="31" t="s">
        <v>63</v>
      </c>
      <c r="N8" s="30" t="str">
        <f>VLOOKUP(M8,'Room Information'!$A$4:$D$11,2,FALSE)</f>
        <v>Twin</v>
      </c>
      <c r="O8" s="35">
        <f>VLOOKUP(M8,'Room Information'!$A$4:$D$11,3,FALSE)</f>
        <v>10</v>
      </c>
      <c r="P8" s="30" t="str">
        <f>VLOOKUP(M8,'Room Information'!$A$4:$D$11,4,FALSE)</f>
        <v>Not available</v>
      </c>
      <c r="Q8" s="36">
        <v>41356</v>
      </c>
      <c r="R8" s="30" t="str">
        <f t="shared" si="1"/>
        <v>7 Days</v>
      </c>
      <c r="S8" s="36">
        <v>41363</v>
      </c>
      <c r="T8" s="36">
        <v>41374</v>
      </c>
      <c r="U8" s="5">
        <f t="shared" si="2"/>
        <v>11</v>
      </c>
      <c r="V8" s="31" t="s">
        <v>119</v>
      </c>
      <c r="W8" s="5" t="str">
        <f t="shared" si="7"/>
        <v>£5.00</v>
      </c>
      <c r="X8" s="31" t="s">
        <v>83</v>
      </c>
      <c r="Y8" s="5" t="str">
        <f t="shared" si="3"/>
        <v>£5.00</v>
      </c>
      <c r="Z8" s="31" t="s">
        <v>86</v>
      </c>
      <c r="AA8" s="19" t="str">
        <f t="shared" si="0"/>
        <v>£3.00</v>
      </c>
      <c r="AB8" s="31" t="s">
        <v>110</v>
      </c>
      <c r="AC8" s="5" t="str">
        <f t="shared" si="4"/>
        <v>£10.00</v>
      </c>
      <c r="AD8" s="19">
        <f t="shared" si="5"/>
        <v>110</v>
      </c>
      <c r="AE8" s="6">
        <f t="shared" si="6"/>
        <v>133</v>
      </c>
    </row>
    <row r="9" spans="1:31" x14ac:dyDescent="0.25">
      <c r="A9" s="31" t="s">
        <v>100</v>
      </c>
      <c r="B9" s="31" t="s">
        <v>14</v>
      </c>
      <c r="C9" s="30" t="str">
        <f>VLOOKUP(B9,'Customer Information'!$A$4:$K$11,2,FALSE)</f>
        <v>Ms</v>
      </c>
      <c r="D9" s="30" t="str">
        <f>VLOOKUP(B9,'Customer Information'!$A$4:$K$11,3,FALSE)</f>
        <v>Samantha</v>
      </c>
      <c r="E9" s="30" t="str">
        <f>VLOOKUP(B9,'Customer Information'!$A$4:$K$11,4,FALSE)</f>
        <v>Blair</v>
      </c>
      <c r="F9" s="30" t="str">
        <f>VLOOKUP(B9,'Customer Information'!$A$4:$K$11,5,FALSE)</f>
        <v>foodie@gmail.com</v>
      </c>
      <c r="G9" s="30" t="str">
        <f>VLOOKUP(B9,'Customer Information'!$A$4:$K$11,6,FALSE)</f>
        <v>87864 345683</v>
      </c>
      <c r="H9" s="30" t="str">
        <f>VLOOKUP(B9,'Customer Information'!$A$4:$K$11,7,FALSE)</f>
        <v>85 Afghan Lane</v>
      </c>
      <c r="I9" s="30" t="str">
        <f>VLOOKUP(B9,'Customer Information'!$A$4:$K$11,8,FALSE)</f>
        <v>London</v>
      </c>
      <c r="J9" s="30" t="str">
        <f>VLOOKUP(B9,'Customer Information'!$A$4:$K$11,9,FALSE)</f>
        <v>Hampshire</v>
      </c>
      <c r="K9" s="30" t="str">
        <f>VLOOKUP(B9,'Customer Information'!$A$4:$K$11,10,FALSE)</f>
        <v>England</v>
      </c>
      <c r="L9" s="30" t="str">
        <f>VLOOKUP(B9,'Customer Information'!$A$4:$K$11,11,FALSE)</f>
        <v>SY7 8EE</v>
      </c>
      <c r="M9" s="31" t="s">
        <v>64</v>
      </c>
      <c r="N9" s="30" t="str">
        <f>VLOOKUP(M9,'Room Information'!$A$4:$D$11,2,FALSE)</f>
        <v>Double</v>
      </c>
      <c r="O9" s="35">
        <f>VLOOKUP(M9,'Room Information'!$A$4:$D$11,3,FALSE)</f>
        <v>10</v>
      </c>
      <c r="P9" s="30" t="str">
        <f>VLOOKUP(M9,'Room Information'!$A$4:$D$11,4,FALSE)</f>
        <v>Not available</v>
      </c>
      <c r="Q9" s="36">
        <v>41401</v>
      </c>
      <c r="R9" s="30" t="str">
        <f t="shared" si="1"/>
        <v>34 Days</v>
      </c>
      <c r="S9" s="36">
        <v>41435</v>
      </c>
      <c r="T9" s="36">
        <v>41437</v>
      </c>
      <c r="U9" s="5">
        <f t="shared" si="2"/>
        <v>2</v>
      </c>
      <c r="V9" s="31" t="s">
        <v>121</v>
      </c>
      <c r="W9" s="5" t="str">
        <f t="shared" si="7"/>
        <v>£6.50</v>
      </c>
      <c r="X9" s="31" t="s">
        <v>83</v>
      </c>
      <c r="Y9" s="5" t="str">
        <f t="shared" si="3"/>
        <v>£5.00</v>
      </c>
      <c r="Z9" s="31" t="s">
        <v>87</v>
      </c>
      <c r="AA9" s="19" t="str">
        <f t="shared" si="0"/>
        <v>£10.00</v>
      </c>
      <c r="AB9" s="31" t="s">
        <v>106</v>
      </c>
      <c r="AC9" s="5" t="str">
        <f t="shared" si="4"/>
        <v>£3.00</v>
      </c>
      <c r="AD9" s="19">
        <f t="shared" si="5"/>
        <v>20</v>
      </c>
      <c r="AE9" s="6">
        <f t="shared" si="6"/>
        <v>44.5</v>
      </c>
    </row>
    <row r="10" spans="1:31" x14ac:dyDescent="0.25">
      <c r="A10" s="31" t="s">
        <v>101</v>
      </c>
      <c r="B10" s="31" t="s">
        <v>15</v>
      </c>
      <c r="C10" s="30" t="str">
        <f>VLOOKUP(B10,'Customer Information'!$A$4:$K$11,2,FALSE)</f>
        <v>Doctor</v>
      </c>
      <c r="D10" s="30" t="str">
        <f>VLOOKUP(B10,'Customer Information'!$A$4:$K$11,3,FALSE)</f>
        <v>Paul</v>
      </c>
      <c r="E10" s="30" t="str">
        <f>VLOOKUP(B10,'Customer Information'!$A$4:$K$11,4,FALSE)</f>
        <v>Jacobs</v>
      </c>
      <c r="F10" s="30" t="str">
        <f>VLOOKUP(B10,'Customer Information'!$A$4:$K$11,5,FALSE)</f>
        <v>iraq@gov.com</v>
      </c>
      <c r="G10" s="30" t="str">
        <f>VLOOKUP(B10,'Customer Information'!$A$4:$K$11,6,FALSE)</f>
        <v>87864 345684</v>
      </c>
      <c r="H10" s="30" t="str">
        <f>VLOOKUP(B10,'Customer Information'!$A$4:$K$11,7,FALSE)</f>
        <v>32 Chip Avenue</v>
      </c>
      <c r="I10" s="30" t="str">
        <f>VLOOKUP(B10,'Customer Information'!$A$4:$K$11,8,FALSE)</f>
        <v>London</v>
      </c>
      <c r="J10" s="30" t="str">
        <f>VLOOKUP(B10,'Customer Information'!$A$4:$K$11,9,FALSE)</f>
        <v>Hampshire</v>
      </c>
      <c r="K10" s="30" t="str">
        <f>VLOOKUP(B10,'Customer Information'!$A$4:$K$11,10,FALSE)</f>
        <v>England</v>
      </c>
      <c r="L10" s="30" t="str">
        <f>VLOOKUP(B10,'Customer Information'!$A$4:$K$11,11,FALSE)</f>
        <v>SY7 8EE</v>
      </c>
      <c r="M10" s="31" t="s">
        <v>65</v>
      </c>
      <c r="N10" s="30" t="str">
        <f>VLOOKUP(M10,'Room Information'!$A$4:$D$11,2,FALSE)</f>
        <v>Twin</v>
      </c>
      <c r="O10" s="35">
        <f>VLOOKUP(M10,'Room Information'!$A$4:$D$11,3,FALSE)</f>
        <v>10</v>
      </c>
      <c r="P10" s="30" t="str">
        <f>VLOOKUP(M10,'Room Information'!$A$4:$D$11,4,FALSE)</f>
        <v>Available</v>
      </c>
      <c r="Q10" s="36">
        <v>41437</v>
      </c>
      <c r="R10" s="30" t="str">
        <f t="shared" si="1"/>
        <v>4 Days</v>
      </c>
      <c r="S10" s="36">
        <v>41441</v>
      </c>
      <c r="T10" s="36">
        <v>41446</v>
      </c>
      <c r="U10" s="5">
        <f t="shared" si="2"/>
        <v>5</v>
      </c>
      <c r="V10" s="31" t="s">
        <v>120</v>
      </c>
      <c r="W10" s="5" t="str">
        <f t="shared" si="7"/>
        <v>£2.50</v>
      </c>
      <c r="X10" s="31" t="s">
        <v>82</v>
      </c>
      <c r="Y10" s="5" t="str">
        <f t="shared" si="3"/>
        <v>£10.00</v>
      </c>
      <c r="Z10" s="31" t="s">
        <v>109</v>
      </c>
      <c r="AA10" s="19" t="str">
        <f>IF(Z10="Evenings","£5.00",IF(Z10="Mornings","£3.00",IF(Z10="All hours","£10.00",IF(Z10="Afternoons","£4.50"))))</f>
        <v>£5.00</v>
      </c>
      <c r="AB10" s="31" t="s">
        <v>105</v>
      </c>
      <c r="AC10" s="5" t="str">
        <f t="shared" si="4"/>
        <v>£1.50</v>
      </c>
      <c r="AD10" s="19">
        <f t="shared" si="5"/>
        <v>50</v>
      </c>
      <c r="AE10" s="6">
        <f t="shared" si="6"/>
        <v>69</v>
      </c>
    </row>
    <row r="11" spans="1:31" x14ac:dyDescent="0.25">
      <c r="A11" s="31" t="s">
        <v>102</v>
      </c>
      <c r="B11" s="31" t="s">
        <v>16</v>
      </c>
      <c r="C11" s="30" t="str">
        <f>VLOOKUP(B11,'Customer Information'!$A$4:$K$11,2,FALSE)</f>
        <v>Mrs</v>
      </c>
      <c r="D11" s="30" t="str">
        <f>VLOOKUP(B11,'Customer Information'!$A$4:$K$11,3,FALSE)</f>
        <v>Paulina</v>
      </c>
      <c r="E11" s="30" t="str">
        <f>VLOOKUP(B11,'Customer Information'!$A$4:$K$11,4,FALSE)</f>
        <v>Jebb</v>
      </c>
      <c r="F11" s="30" t="str">
        <f>VLOOKUP(B11,'Customer Information'!$A$4:$K$11,5,FALSE)</f>
        <v>foodie@gmail.com</v>
      </c>
      <c r="G11" s="30" t="str">
        <f>VLOOKUP(B11,'Customer Information'!$A$4:$K$11,6,FALSE)</f>
        <v>87864 345685</v>
      </c>
      <c r="H11" s="30" t="str">
        <f>VLOOKUP(B11,'Customer Information'!$A$4:$K$11,7,FALSE)</f>
        <v>Hampshire Row</v>
      </c>
      <c r="I11" s="30" t="str">
        <f>VLOOKUP(B11,'Customer Information'!$A$4:$K$11,8,FALSE)</f>
        <v>London</v>
      </c>
      <c r="J11" s="30" t="str">
        <f>VLOOKUP(B11,'Customer Information'!$A$4:$K$11,9,FALSE)</f>
        <v>Hampshire</v>
      </c>
      <c r="K11" s="30" t="str">
        <f>VLOOKUP(B11,'Customer Information'!$A$4:$K$11,10,FALSE)</f>
        <v>England</v>
      </c>
      <c r="L11" s="30" t="str">
        <f>VLOOKUP(B11,'Customer Information'!$A$4:$K$11,11,FALSE)</f>
        <v>SY7 8EE</v>
      </c>
      <c r="M11" s="31" t="s">
        <v>66</v>
      </c>
      <c r="N11" s="30" t="str">
        <f>VLOOKUP(M11,'Room Information'!$A$4:$D$11,2,FALSE)</f>
        <v>Double</v>
      </c>
      <c r="O11" s="35">
        <f>VLOOKUP(M11,'Room Information'!$A$4:$D$11,3,FALSE)</f>
        <v>10</v>
      </c>
      <c r="P11" s="30" t="str">
        <f>VLOOKUP(M11,'Room Information'!$A$4:$D$11,4,FALSE)</f>
        <v>Available</v>
      </c>
      <c r="Q11" s="36">
        <f t="shared" ref="Q11" ca="1" si="8">TODAY()</f>
        <v>41562</v>
      </c>
      <c r="R11" s="30" t="str">
        <f t="shared" ca="1" si="1"/>
        <v>-64 Days</v>
      </c>
      <c r="S11" s="36">
        <v>41498</v>
      </c>
      <c r="T11" s="36">
        <v>41500</v>
      </c>
      <c r="U11" s="5">
        <f t="shared" si="2"/>
        <v>2</v>
      </c>
      <c r="V11" s="31" t="s">
        <v>120</v>
      </c>
      <c r="W11" s="5" t="str">
        <f t="shared" si="7"/>
        <v>£2.50</v>
      </c>
      <c r="X11" s="31" t="s">
        <v>84</v>
      </c>
      <c r="Y11" s="5" t="str">
        <f t="shared" si="3"/>
        <v>£3.00</v>
      </c>
      <c r="Z11" s="31" t="s">
        <v>87</v>
      </c>
      <c r="AA11" s="19" t="str">
        <f t="shared" si="0"/>
        <v>£10.00</v>
      </c>
      <c r="AB11" s="31" t="s">
        <v>110</v>
      </c>
      <c r="AC11" s="5" t="str">
        <f t="shared" si="4"/>
        <v>£10.00</v>
      </c>
      <c r="AD11" s="19">
        <f t="shared" si="5"/>
        <v>20</v>
      </c>
      <c r="AE11" s="6">
        <f t="shared" si="6"/>
        <v>45.5</v>
      </c>
    </row>
    <row r="12" spans="1:3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  <c r="P12" s="13"/>
      <c r="Q12" s="15"/>
      <c r="R12" s="13"/>
      <c r="S12" s="15"/>
      <c r="T12" s="15"/>
      <c r="U12" s="13"/>
      <c r="V12" s="13"/>
      <c r="W12" s="13"/>
      <c r="X12" s="16"/>
      <c r="Y12" s="16"/>
      <c r="Z12" s="13"/>
      <c r="AA12" s="13"/>
      <c r="AB12" s="13"/>
      <c r="AC12" s="13"/>
      <c r="AD12" s="13"/>
    </row>
    <row r="13" spans="1:3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/>
      <c r="P13" s="13"/>
      <c r="Q13" s="15"/>
      <c r="R13" s="13"/>
      <c r="S13" s="15"/>
      <c r="T13" s="15"/>
      <c r="U13" s="13"/>
      <c r="V13" s="13"/>
      <c r="W13" s="13"/>
      <c r="X13" s="16"/>
      <c r="Y13" s="16"/>
      <c r="Z13" s="13"/>
      <c r="AA13" s="13"/>
      <c r="AB13" s="13"/>
      <c r="AC13" s="13"/>
      <c r="AD13" s="13"/>
    </row>
    <row r="14" spans="1:3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/>
      <c r="P14" s="13"/>
      <c r="Q14" s="15"/>
      <c r="R14" s="13"/>
      <c r="S14" s="15"/>
      <c r="T14" s="15"/>
      <c r="U14" s="13"/>
      <c r="V14" s="13"/>
      <c r="W14" s="13"/>
      <c r="X14" s="16"/>
      <c r="Y14" s="16"/>
      <c r="Z14" s="13"/>
      <c r="AA14" s="13"/>
      <c r="AB14" s="13"/>
      <c r="AC14" s="13"/>
      <c r="AD14" s="13"/>
    </row>
    <row r="15" spans="1:3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4"/>
      <c r="P15" s="13"/>
      <c r="Q15" s="15"/>
      <c r="R15" s="13"/>
      <c r="S15" s="15"/>
      <c r="T15" s="15"/>
      <c r="U15" s="13"/>
      <c r="V15" s="13"/>
      <c r="W15" s="13"/>
      <c r="X15" s="16"/>
      <c r="Y15" s="16"/>
      <c r="Z15" s="13"/>
      <c r="AA15" s="13"/>
      <c r="AB15" s="13"/>
      <c r="AC15" s="13"/>
      <c r="AD15" s="13"/>
    </row>
    <row r="16" spans="1:3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4"/>
      <c r="P16" s="13"/>
      <c r="Q16" s="15"/>
      <c r="R16" s="13"/>
      <c r="S16" s="15"/>
      <c r="T16" s="15"/>
      <c r="U16" s="13"/>
      <c r="V16" s="13"/>
      <c r="W16" s="13"/>
      <c r="X16" s="16"/>
      <c r="Y16" s="16"/>
      <c r="Z16" s="13"/>
      <c r="AA16" s="13"/>
      <c r="AB16" s="13"/>
      <c r="AC16" s="13"/>
      <c r="AD16" s="13"/>
    </row>
    <row r="17" spans="1:30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/>
      <c r="P17" s="13"/>
      <c r="Q17" s="15"/>
      <c r="R17" s="13"/>
      <c r="S17" s="15"/>
      <c r="T17" s="15"/>
      <c r="U17" s="13"/>
      <c r="V17" s="13"/>
      <c r="W17" s="13"/>
      <c r="X17" s="16"/>
      <c r="Y17" s="16"/>
      <c r="Z17" s="13"/>
      <c r="AA17" s="13"/>
      <c r="AB17" s="13"/>
      <c r="AC17" s="13"/>
      <c r="AD17" s="13"/>
    </row>
    <row r="18" spans="1:30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3"/>
      <c r="Q18" s="15"/>
      <c r="R18" s="13"/>
      <c r="S18" s="15"/>
      <c r="T18" s="15"/>
      <c r="U18" s="13"/>
      <c r="V18" s="13"/>
      <c r="W18" s="13"/>
      <c r="X18" s="16"/>
      <c r="Y18" s="16"/>
      <c r="Z18" s="13"/>
      <c r="AA18" s="13"/>
      <c r="AB18" s="13"/>
      <c r="AC18" s="13"/>
      <c r="AD18" s="13"/>
    </row>
    <row r="19" spans="1:30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4"/>
      <c r="P19" s="13"/>
      <c r="Q19" s="15"/>
      <c r="R19" s="13"/>
      <c r="S19" s="15"/>
      <c r="T19" s="15"/>
      <c r="U19" s="13"/>
      <c r="V19" s="13"/>
      <c r="W19" s="13"/>
      <c r="X19" s="16"/>
      <c r="Y19" s="16"/>
      <c r="Z19" s="13"/>
      <c r="AA19" s="13"/>
      <c r="AB19" s="13"/>
      <c r="AC19" s="13"/>
      <c r="AD19" s="13"/>
    </row>
    <row r="22" spans="1:30" x14ac:dyDescent="0.25">
      <c r="S22" s="7" t="str">
        <f>IF(LEN(U4)&gt;0,"Room full!","Room free!")</f>
        <v>Room full!</v>
      </c>
    </row>
    <row r="31" spans="1:30" x14ac:dyDescent="0.25">
      <c r="T31" s="18"/>
    </row>
  </sheetData>
  <sheetProtection sheet="1" objects="1" scenarios="1"/>
  <conditionalFormatting sqref="T4">
    <cfRule type="cellIs" dxfId="11" priority="8" operator="lessThan">
      <formula>$S$4</formula>
    </cfRule>
  </conditionalFormatting>
  <conditionalFormatting sqref="T5">
    <cfRule type="cellIs" dxfId="10" priority="7" operator="lessThan">
      <formula>$S$5</formula>
    </cfRule>
  </conditionalFormatting>
  <conditionalFormatting sqref="T6">
    <cfRule type="cellIs" dxfId="9" priority="6" operator="lessThan">
      <formula>$S$6</formula>
    </cfRule>
  </conditionalFormatting>
  <conditionalFormatting sqref="T7">
    <cfRule type="cellIs" dxfId="8" priority="5" operator="lessThan">
      <formula>$S$7</formula>
    </cfRule>
  </conditionalFormatting>
  <conditionalFormatting sqref="T8">
    <cfRule type="cellIs" dxfId="7" priority="4" operator="lessThan">
      <formula>$S$8</formula>
    </cfRule>
  </conditionalFormatting>
  <conditionalFormatting sqref="T9">
    <cfRule type="cellIs" dxfId="6" priority="3" operator="lessThan">
      <formula>$S$9</formula>
    </cfRule>
  </conditionalFormatting>
  <conditionalFormatting sqref="T10">
    <cfRule type="cellIs" dxfId="5" priority="2" operator="lessThan">
      <formula>$S$10</formula>
    </cfRule>
  </conditionalFormatting>
  <conditionalFormatting sqref="T11">
    <cfRule type="cellIs" dxfId="4" priority="1" operator="lessThan">
      <formula>$S$11</formula>
    </cfRule>
  </conditionalFormatting>
  <dataValidations count="17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 V12:W19"/>
    <dataValidation type="date" allowBlank="1" showInputMessage="1" showErrorMessage="1" errorTitle="Invalid Input" error="You must enter a valid date." sqref="T12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X4:X19 Y12:Y19">
      <formula1>"Full Service,Room Only,Clothes Only"</formula1>
    </dataValidation>
    <dataValidation type="list" allowBlank="1" showInputMessage="1" showErrorMessage="1" sqref="Z12:AA19">
      <formula1>"All hours,Mornings,Afternoons,Evening"</formula1>
    </dataValidation>
    <dataValidation type="list" allowBlank="1" showInputMessage="1" showErrorMessage="1" errorTitle="Invalid Input" error="You must select the amount of time required." sqref="AB12:AD19">
      <formula1>"10 Minutes,20 Minutes,30 Minutes,1 Hour Plus"</formula1>
    </dataValidation>
    <dataValidation allowBlank="1" showInputMessage="1" showErrorMessage="1" errorTitle="Invalid Input" error="You must enter a valid date." sqref="T4:T11"/>
    <dataValidation allowBlank="1" showInputMessage="1" errorTitle="Invalid Input" error="You must select the type of cleaning required." sqref="Y4:Y11"/>
    <dataValidation allowBlank="1" showInputMessage="1" showErrorMessage="1" promptTitle="Cleaning charges" prompt="This is how much the customer is charged for their cleaning. It changes depending on the services required." sqref="Y3"/>
    <dataValidation type="list" allowBlank="1" showInputMessage="1" showErrorMessage="1" sqref="Z4:Z11">
      <formula1>"All hours,Mornings,Afternoons,Evenings"</formula1>
    </dataValidation>
    <dataValidation allowBlank="1" showInputMessage="1" showErrorMessage="1" errorTitle="Invalid Input" error="You must select the amount of time required." sqref="AC4:AD11"/>
    <dataValidation type="list" allowBlank="1" showInputMessage="1" showErrorMessage="1" errorTitle="Invalid Input" error="You must select the amount of time required." sqref="AB4:AB11">
      <formula1>"10 Minutes,20 Minutes,30 Minutes,All Day"</formula1>
    </dataValidation>
    <dataValidation allowBlank="1" showInputMessage="1" showErrorMessage="1" promptTitle="Cleaning Services" prompt="This is the cleaning option the customer has opted for." sqref="X3"/>
    <dataValidation allowBlank="1" showInputMessage="1" showErrorMessage="1" promptTitle="Total Room Cost" prompt="The total cost of the room is worked out by multiplying the initial room cost by the number of nights stayed." sqref="AD3"/>
    <dataValidation type="list" allowBlank="1" showInputMessage="1" showErrorMessage="1" errorTitle="Invalid Input" error="You must choose one of the items from the list." sqref="V4:V11">
      <formula1>"Breakfast,Lunch,Evening,All Meals,No Meals"</formula1>
    </dataValidation>
    <dataValidation allowBlank="1" showInputMessage="1" showErrorMessage="1" errorTitle="Invalid Input" error="You must choose one of the items from the list." sqref="W4:W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tabSelected="1" workbookViewId="0">
      <selection activeCell="G10" sqref="G10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0.25" customHeight="1" x14ac:dyDescent="0.25">
      <c r="A3" s="28" t="s">
        <v>58</v>
      </c>
      <c r="B3" s="28" t="s">
        <v>67</v>
      </c>
      <c r="C3" s="28" t="s">
        <v>70</v>
      </c>
      <c r="D3" s="28" t="s">
        <v>71</v>
      </c>
    </row>
    <row r="4" spans="1:20" x14ac:dyDescent="0.25">
      <c r="A4" s="5" t="s">
        <v>59</v>
      </c>
      <c r="B4" s="31" t="s">
        <v>69</v>
      </c>
      <c r="C4" s="19">
        <v>10</v>
      </c>
      <c r="D4" s="4" t="s">
        <v>107</v>
      </c>
    </row>
    <row r="5" spans="1:20" x14ac:dyDescent="0.25">
      <c r="A5" s="5" t="s">
        <v>60</v>
      </c>
      <c r="B5" s="31" t="s">
        <v>68</v>
      </c>
      <c r="C5" s="19">
        <v>10</v>
      </c>
      <c r="D5" s="4" t="s">
        <v>107</v>
      </c>
    </row>
    <row r="6" spans="1:20" x14ac:dyDescent="0.25">
      <c r="A6" s="5" t="s">
        <v>61</v>
      </c>
      <c r="B6" s="31" t="s">
        <v>69</v>
      </c>
      <c r="C6" s="19">
        <v>10</v>
      </c>
      <c r="D6" s="4" t="s">
        <v>108</v>
      </c>
    </row>
    <row r="7" spans="1:20" x14ac:dyDescent="0.25">
      <c r="A7" s="5" t="s">
        <v>62</v>
      </c>
      <c r="B7" s="31" t="s">
        <v>68</v>
      </c>
      <c r="C7" s="19">
        <v>10</v>
      </c>
      <c r="D7" s="4" t="s">
        <v>107</v>
      </c>
    </row>
    <row r="8" spans="1:20" x14ac:dyDescent="0.25">
      <c r="A8" s="5" t="s">
        <v>63</v>
      </c>
      <c r="B8" s="31" t="s">
        <v>69</v>
      </c>
      <c r="C8" s="19">
        <v>10</v>
      </c>
      <c r="D8" s="4" t="s">
        <v>108</v>
      </c>
    </row>
    <row r="9" spans="1:20" x14ac:dyDescent="0.25">
      <c r="A9" s="5" t="s">
        <v>64</v>
      </c>
      <c r="B9" s="31" t="s">
        <v>68</v>
      </c>
      <c r="C9" s="19">
        <v>10</v>
      </c>
      <c r="D9" s="4" t="s">
        <v>108</v>
      </c>
    </row>
    <row r="10" spans="1:20" x14ac:dyDescent="0.25">
      <c r="A10" s="5" t="s">
        <v>65</v>
      </c>
      <c r="B10" s="31" t="s">
        <v>69</v>
      </c>
      <c r="C10" s="19">
        <v>10</v>
      </c>
      <c r="D10" s="4" t="s">
        <v>107</v>
      </c>
    </row>
    <row r="11" spans="1:20" x14ac:dyDescent="0.25">
      <c r="A11" s="5" t="s">
        <v>66</v>
      </c>
      <c r="B11" s="31" t="s">
        <v>68</v>
      </c>
      <c r="C11" s="19">
        <v>10</v>
      </c>
      <c r="D11" s="4" t="s">
        <v>107</v>
      </c>
    </row>
  </sheetData>
  <sheetProtection sheet="1" objects="1" scenarios="1"/>
  <conditionalFormatting sqref="D4:D11">
    <cfRule type="cellIs" dxfId="3" priority="1" operator="equal">
      <formula>"Not available"</formula>
    </cfRule>
    <cfRule type="cellIs" dxfId="2" priority="2" operator="equal">
      <formula>"Available"</formula>
    </cfRule>
    <cfRule type="cellIs" dxfId="1" priority="3" operator="equal">
      <formula>"Occupied"</formula>
    </cfRule>
    <cfRule type="cellIs" dxfId="0" priority="4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T46"/>
  <sheetViews>
    <sheetView topLeftCell="A13" workbookViewId="0">
      <selection activeCell="E26" sqref="E26"/>
    </sheetView>
  </sheetViews>
  <sheetFormatPr defaultRowHeight="15" x14ac:dyDescent="0.25"/>
  <cols>
    <col min="1" max="1" width="22.5703125" bestFit="1" customWidth="1"/>
    <col min="2" max="2" width="15.7109375" customWidth="1"/>
    <col min="3" max="3" width="23.42578125" customWidth="1"/>
    <col min="4" max="4" width="24.85546875" customWidth="1"/>
    <col min="5" max="5" width="27.85546875" customWidth="1"/>
    <col min="6" max="6" width="26.5703125" customWidth="1"/>
    <col min="7" max="7" width="26" customWidth="1"/>
    <col min="8" max="8" width="25.5703125" customWidth="1"/>
    <col min="9" max="9" width="38.85546875" customWidth="1"/>
    <col min="10" max="10" width="29.28515625" customWidth="1"/>
    <col min="11" max="11" width="23.140625" customWidth="1"/>
    <col min="12" max="12" width="25.140625" customWidth="1"/>
    <col min="13" max="13" width="24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42" t="s">
        <v>113</v>
      </c>
      <c r="B3" s="43"/>
      <c r="C3" s="42" t="s">
        <v>125</v>
      </c>
      <c r="D3" s="43"/>
      <c r="E3" s="45" t="s">
        <v>126</v>
      </c>
      <c r="F3" s="45"/>
      <c r="G3" s="45" t="s">
        <v>130</v>
      </c>
      <c r="H3" s="45"/>
      <c r="I3" s="45" t="s">
        <v>166</v>
      </c>
      <c r="J3" s="45"/>
      <c r="K3" s="45" t="s">
        <v>170</v>
      </c>
      <c r="L3" s="45"/>
    </row>
    <row r="4" spans="1:20" x14ac:dyDescent="0.25">
      <c r="A4" s="4" t="s">
        <v>114</v>
      </c>
      <c r="B4" s="38">
        <v>2</v>
      </c>
      <c r="C4" s="4" t="s">
        <v>129</v>
      </c>
      <c r="D4" s="39">
        <v>1.5</v>
      </c>
      <c r="E4" s="4" t="s">
        <v>129</v>
      </c>
      <c r="F4" s="39">
        <v>5</v>
      </c>
      <c r="G4" s="4" t="s">
        <v>129</v>
      </c>
      <c r="H4" s="39">
        <v>6.5</v>
      </c>
      <c r="I4" s="4" t="s">
        <v>167</v>
      </c>
      <c r="J4" s="32">
        <v>250</v>
      </c>
      <c r="K4" s="7" t="s">
        <v>171</v>
      </c>
      <c r="L4" s="7"/>
    </row>
    <row r="5" spans="1:20" x14ac:dyDescent="0.25">
      <c r="A5" s="4" t="s">
        <v>115</v>
      </c>
      <c r="B5" s="37">
        <v>6.19</v>
      </c>
      <c r="C5" s="4" t="s">
        <v>127</v>
      </c>
      <c r="D5" s="4">
        <f>COUNTIF('Bookings Information'!V4:V11,"Breakfast")</f>
        <v>4</v>
      </c>
      <c r="E5" s="4" t="s">
        <v>128</v>
      </c>
      <c r="F5" s="4">
        <f>COUNTIF('Bookings Information'!V4:V11,"Lunch")</f>
        <v>2</v>
      </c>
      <c r="G5" s="4" t="s">
        <v>131</v>
      </c>
      <c r="H5" s="4">
        <f>COUNTIF('Bookings Information'!V4:V11,"Evening")</f>
        <v>1</v>
      </c>
      <c r="I5" s="4" t="s">
        <v>172</v>
      </c>
      <c r="J5" s="4"/>
      <c r="K5" s="7"/>
      <c r="L5" s="7"/>
    </row>
    <row r="6" spans="1:20" x14ac:dyDescent="0.25">
      <c r="A6" s="4" t="s">
        <v>116</v>
      </c>
      <c r="B6" s="38">
        <v>21</v>
      </c>
      <c r="C6" s="4" t="s">
        <v>111</v>
      </c>
      <c r="D6" s="32">
        <f>D5*D4</f>
        <v>6</v>
      </c>
      <c r="E6" s="4" t="s">
        <v>111</v>
      </c>
      <c r="F6" s="32">
        <f>F5*F4</f>
        <v>10</v>
      </c>
      <c r="G6" s="4" t="s">
        <v>111</v>
      </c>
      <c r="H6" s="32">
        <f>H5*H4</f>
        <v>6.5</v>
      </c>
      <c r="I6" s="4" t="s">
        <v>173</v>
      </c>
      <c r="J6" s="4"/>
      <c r="K6" s="7"/>
      <c r="L6" s="7"/>
    </row>
    <row r="7" spans="1:20" x14ac:dyDescent="0.25">
      <c r="A7" s="4" t="s">
        <v>117</v>
      </c>
      <c r="B7" s="37">
        <v>30</v>
      </c>
      <c r="C7" s="40"/>
      <c r="I7" s="20" t="s">
        <v>174</v>
      </c>
      <c r="J7" s="7"/>
    </row>
    <row r="8" spans="1:20" x14ac:dyDescent="0.25">
      <c r="A8" s="13"/>
      <c r="B8" s="14"/>
      <c r="C8" s="14"/>
      <c r="E8" s="16"/>
      <c r="F8" s="29"/>
    </row>
    <row r="9" spans="1:20" x14ac:dyDescent="0.25">
      <c r="A9" s="13"/>
      <c r="B9" s="14"/>
      <c r="C9" s="14"/>
    </row>
    <row r="10" spans="1:20" ht="18.75" customHeight="1" x14ac:dyDescent="0.25">
      <c r="A10" s="46" t="s">
        <v>155</v>
      </c>
      <c r="B10" s="47"/>
      <c r="C10" s="47"/>
      <c r="D10" s="47"/>
      <c r="E10" s="47"/>
      <c r="F10" s="47"/>
      <c r="G10" s="47"/>
      <c r="H10" s="47"/>
      <c r="I10" s="47"/>
      <c r="J10" s="47"/>
      <c r="K10" s="48"/>
      <c r="L10" s="44" t="s">
        <v>156</v>
      </c>
      <c r="M10" s="44"/>
    </row>
    <row r="11" spans="1:20" ht="22.5" customHeight="1" x14ac:dyDescent="0.25">
      <c r="A11" s="49" t="s">
        <v>144</v>
      </c>
      <c r="B11" s="49" t="s">
        <v>145</v>
      </c>
      <c r="C11" s="49" t="s">
        <v>147</v>
      </c>
      <c r="D11" s="49" t="s">
        <v>146</v>
      </c>
      <c r="E11" s="49" t="s">
        <v>148</v>
      </c>
      <c r="F11" s="49" t="s">
        <v>149</v>
      </c>
      <c r="G11" s="49" t="s">
        <v>150</v>
      </c>
      <c r="H11" s="49" t="s">
        <v>151</v>
      </c>
      <c r="I11" s="49" t="s">
        <v>153</v>
      </c>
      <c r="J11" s="49" t="s">
        <v>152</v>
      </c>
      <c r="K11" s="49" t="s">
        <v>154</v>
      </c>
      <c r="L11" s="41" t="s">
        <v>157</v>
      </c>
      <c r="M11" s="41" t="s">
        <v>158</v>
      </c>
    </row>
    <row r="12" spans="1:20" x14ac:dyDescent="0.25">
      <c r="A12" s="33" t="s">
        <v>132</v>
      </c>
      <c r="B12" s="33">
        <v>31</v>
      </c>
      <c r="C12" s="50">
        <f>($B$7*$B$6)*4</f>
        <v>2520</v>
      </c>
      <c r="D12" s="50">
        <f t="shared" ref="D12:D23" si="0">($B$7*B12)*2</f>
        <v>1860</v>
      </c>
      <c r="E12" s="51">
        <f>($D$5*8)*B12</f>
        <v>992</v>
      </c>
      <c r="F12" s="52">
        <f>E12*$D$4</f>
        <v>1488</v>
      </c>
      <c r="G12" s="33">
        <f>($F$5*8)*B12</f>
        <v>496</v>
      </c>
      <c r="H12" s="52">
        <f>G12*$F$4</f>
        <v>2480</v>
      </c>
      <c r="I12" s="33">
        <f>$H$5*B12</f>
        <v>31</v>
      </c>
      <c r="J12" s="52">
        <f>I12*$H$4</f>
        <v>201.5</v>
      </c>
      <c r="K12" s="52">
        <f>J12+H12+F12+D12+J4</f>
        <v>6279.5</v>
      </c>
      <c r="L12" s="38">
        <v>120</v>
      </c>
      <c r="M12" s="6">
        <f>L12*'Room Information'!$C$4</f>
        <v>1200</v>
      </c>
    </row>
    <row r="13" spans="1:20" x14ac:dyDescent="0.25">
      <c r="A13" s="33" t="s">
        <v>133</v>
      </c>
      <c r="B13" s="33">
        <v>28</v>
      </c>
      <c r="C13" s="50">
        <f>($B$7*$B$6)*3</f>
        <v>1890</v>
      </c>
      <c r="D13" s="50">
        <f t="shared" si="0"/>
        <v>1680</v>
      </c>
      <c r="E13" s="51">
        <f t="shared" ref="E13:E23" si="1">($D$5*8)*B13</f>
        <v>896</v>
      </c>
      <c r="F13" s="52">
        <f t="shared" ref="F13:F23" si="2">E13*$D$4</f>
        <v>1344</v>
      </c>
      <c r="G13" s="33">
        <f t="shared" ref="G13:G23" si="3">($F$5*8)*B13</f>
        <v>448</v>
      </c>
      <c r="H13" s="52">
        <f t="shared" ref="H13:H23" si="4">G13*$F$4</f>
        <v>2240</v>
      </c>
      <c r="I13" s="33">
        <f t="shared" ref="I13:I23" si="5">$H$5*B13</f>
        <v>28</v>
      </c>
      <c r="J13" s="52">
        <f t="shared" ref="J13:J23" si="6">I13*$H$4</f>
        <v>182</v>
      </c>
      <c r="K13" s="52">
        <f t="shared" ref="K13:K23" si="7">J13+H13+F13+D13</f>
        <v>5446</v>
      </c>
      <c r="L13" s="38">
        <v>100</v>
      </c>
      <c r="M13" s="6">
        <f>L13*'Room Information'!$C$4</f>
        <v>1000</v>
      </c>
    </row>
    <row r="14" spans="1:20" x14ac:dyDescent="0.25">
      <c r="A14" s="33" t="s">
        <v>134</v>
      </c>
      <c r="B14" s="33">
        <v>31</v>
      </c>
      <c r="C14" s="50">
        <f t="shared" ref="C14:C23" si="8">($B$7*$B$6)*4</f>
        <v>2520</v>
      </c>
      <c r="D14" s="50">
        <f t="shared" si="0"/>
        <v>1860</v>
      </c>
      <c r="E14" s="51">
        <f t="shared" si="1"/>
        <v>992</v>
      </c>
      <c r="F14" s="52">
        <f t="shared" si="2"/>
        <v>1488</v>
      </c>
      <c r="G14" s="33">
        <f t="shared" si="3"/>
        <v>496</v>
      </c>
      <c r="H14" s="52">
        <f t="shared" si="4"/>
        <v>2480</v>
      </c>
      <c r="I14" s="33">
        <f t="shared" si="5"/>
        <v>31</v>
      </c>
      <c r="J14" s="52">
        <f t="shared" si="6"/>
        <v>201.5</v>
      </c>
      <c r="K14" s="52">
        <f t="shared" si="7"/>
        <v>6029.5</v>
      </c>
      <c r="L14" s="38">
        <v>110</v>
      </c>
      <c r="M14" s="6">
        <f>L14*'Room Information'!$C$4</f>
        <v>1100</v>
      </c>
    </row>
    <row r="15" spans="1:20" x14ac:dyDescent="0.25">
      <c r="A15" s="33" t="s">
        <v>135</v>
      </c>
      <c r="B15" s="33">
        <v>30</v>
      </c>
      <c r="C15" s="50">
        <f t="shared" si="8"/>
        <v>2520</v>
      </c>
      <c r="D15" s="50">
        <f t="shared" si="0"/>
        <v>1800</v>
      </c>
      <c r="E15" s="51">
        <f t="shared" si="1"/>
        <v>960</v>
      </c>
      <c r="F15" s="52">
        <f t="shared" si="2"/>
        <v>1440</v>
      </c>
      <c r="G15" s="33">
        <f t="shared" si="3"/>
        <v>480</v>
      </c>
      <c r="H15" s="52">
        <f t="shared" si="4"/>
        <v>2400</v>
      </c>
      <c r="I15" s="33">
        <f t="shared" si="5"/>
        <v>30</v>
      </c>
      <c r="J15" s="52">
        <f t="shared" si="6"/>
        <v>195</v>
      </c>
      <c r="K15" s="52">
        <f t="shared" si="7"/>
        <v>5835</v>
      </c>
      <c r="L15" s="38">
        <v>150</v>
      </c>
      <c r="M15" s="6">
        <f>L15*'Room Information'!$C$4</f>
        <v>1500</v>
      </c>
    </row>
    <row r="16" spans="1:20" x14ac:dyDescent="0.25">
      <c r="A16" s="33" t="s">
        <v>136</v>
      </c>
      <c r="B16" s="33">
        <v>31</v>
      </c>
      <c r="C16" s="50">
        <f t="shared" si="8"/>
        <v>2520</v>
      </c>
      <c r="D16" s="50">
        <f t="shared" si="0"/>
        <v>1860</v>
      </c>
      <c r="E16" s="51">
        <f t="shared" si="1"/>
        <v>992</v>
      </c>
      <c r="F16" s="52">
        <f t="shared" si="2"/>
        <v>1488</v>
      </c>
      <c r="G16" s="33">
        <f t="shared" si="3"/>
        <v>496</v>
      </c>
      <c r="H16" s="52">
        <f t="shared" si="4"/>
        <v>2480</v>
      </c>
      <c r="I16" s="33">
        <f t="shared" si="5"/>
        <v>31</v>
      </c>
      <c r="J16" s="52">
        <f t="shared" si="6"/>
        <v>201.5</v>
      </c>
      <c r="K16" s="52">
        <f t="shared" si="7"/>
        <v>6029.5</v>
      </c>
      <c r="L16" s="38">
        <v>100</v>
      </c>
      <c r="M16" s="6">
        <f>L16*'Room Information'!$C$4</f>
        <v>1000</v>
      </c>
    </row>
    <row r="17" spans="1:13" x14ac:dyDescent="0.25">
      <c r="A17" s="33" t="s">
        <v>137</v>
      </c>
      <c r="B17" s="33">
        <v>30</v>
      </c>
      <c r="C17" s="50">
        <f t="shared" si="8"/>
        <v>2520</v>
      </c>
      <c r="D17" s="50">
        <f t="shared" si="0"/>
        <v>1800</v>
      </c>
      <c r="E17" s="51">
        <f t="shared" si="1"/>
        <v>960</v>
      </c>
      <c r="F17" s="52">
        <f t="shared" si="2"/>
        <v>1440</v>
      </c>
      <c r="G17" s="33">
        <f t="shared" si="3"/>
        <v>480</v>
      </c>
      <c r="H17" s="52">
        <f t="shared" si="4"/>
        <v>2400</v>
      </c>
      <c r="I17" s="33">
        <f t="shared" si="5"/>
        <v>30</v>
      </c>
      <c r="J17" s="52">
        <f t="shared" si="6"/>
        <v>195</v>
      </c>
      <c r="K17" s="52">
        <f t="shared" si="7"/>
        <v>5835</v>
      </c>
      <c r="L17" s="38">
        <v>135</v>
      </c>
      <c r="M17" s="6">
        <f>L17*'Room Information'!$C$4</f>
        <v>1350</v>
      </c>
    </row>
    <row r="18" spans="1:13" x14ac:dyDescent="0.25">
      <c r="A18" s="33" t="s">
        <v>138</v>
      </c>
      <c r="B18" s="33">
        <v>31</v>
      </c>
      <c r="C18" s="50">
        <f t="shared" si="8"/>
        <v>2520</v>
      </c>
      <c r="D18" s="50">
        <f t="shared" si="0"/>
        <v>1860</v>
      </c>
      <c r="E18" s="51">
        <f t="shared" si="1"/>
        <v>992</v>
      </c>
      <c r="F18" s="52">
        <f t="shared" si="2"/>
        <v>1488</v>
      </c>
      <c r="G18" s="33">
        <f t="shared" si="3"/>
        <v>496</v>
      </c>
      <c r="H18" s="52">
        <f t="shared" si="4"/>
        <v>2480</v>
      </c>
      <c r="I18" s="33">
        <f t="shared" si="5"/>
        <v>31</v>
      </c>
      <c r="J18" s="52">
        <f t="shared" si="6"/>
        <v>201.5</v>
      </c>
      <c r="K18" s="52">
        <f t="shared" si="7"/>
        <v>6029.5</v>
      </c>
      <c r="L18" s="38">
        <v>120</v>
      </c>
      <c r="M18" s="6">
        <f>L18*'Room Information'!$C$4</f>
        <v>1200</v>
      </c>
    </row>
    <row r="19" spans="1:13" x14ac:dyDescent="0.25">
      <c r="A19" s="33" t="s">
        <v>139</v>
      </c>
      <c r="B19" s="33">
        <v>31</v>
      </c>
      <c r="C19" s="50">
        <f t="shared" si="8"/>
        <v>2520</v>
      </c>
      <c r="D19" s="50">
        <f t="shared" si="0"/>
        <v>1860</v>
      </c>
      <c r="E19" s="51">
        <f t="shared" si="1"/>
        <v>992</v>
      </c>
      <c r="F19" s="52">
        <f t="shared" si="2"/>
        <v>1488</v>
      </c>
      <c r="G19" s="33">
        <f t="shared" si="3"/>
        <v>496</v>
      </c>
      <c r="H19" s="52">
        <f t="shared" si="4"/>
        <v>2480</v>
      </c>
      <c r="I19" s="33">
        <f t="shared" si="5"/>
        <v>31</v>
      </c>
      <c r="J19" s="52">
        <f t="shared" si="6"/>
        <v>201.5</v>
      </c>
      <c r="K19" s="52">
        <f t="shared" si="7"/>
        <v>6029.5</v>
      </c>
      <c r="L19" s="38">
        <v>190</v>
      </c>
      <c r="M19" s="6">
        <f>L19*'Room Information'!$C$4</f>
        <v>1900</v>
      </c>
    </row>
    <row r="20" spans="1:13" x14ac:dyDescent="0.25">
      <c r="A20" s="33" t="s">
        <v>140</v>
      </c>
      <c r="B20" s="33">
        <v>30</v>
      </c>
      <c r="C20" s="50">
        <f t="shared" si="8"/>
        <v>2520</v>
      </c>
      <c r="D20" s="50">
        <f t="shared" si="0"/>
        <v>1800</v>
      </c>
      <c r="E20" s="51">
        <f t="shared" si="1"/>
        <v>960</v>
      </c>
      <c r="F20" s="52">
        <f t="shared" si="2"/>
        <v>1440</v>
      </c>
      <c r="G20" s="33">
        <f t="shared" si="3"/>
        <v>480</v>
      </c>
      <c r="H20" s="52">
        <f t="shared" si="4"/>
        <v>2400</v>
      </c>
      <c r="I20" s="33">
        <f t="shared" si="5"/>
        <v>30</v>
      </c>
      <c r="J20" s="52">
        <f t="shared" si="6"/>
        <v>195</v>
      </c>
      <c r="K20" s="52">
        <f t="shared" si="7"/>
        <v>5835</v>
      </c>
      <c r="L20" s="38">
        <v>140</v>
      </c>
      <c r="M20" s="6">
        <f>L20*'Room Information'!$C$4</f>
        <v>1400</v>
      </c>
    </row>
    <row r="21" spans="1:13" x14ac:dyDescent="0.25">
      <c r="A21" s="33" t="s">
        <v>141</v>
      </c>
      <c r="B21" s="33">
        <v>31</v>
      </c>
      <c r="C21" s="50">
        <f t="shared" si="8"/>
        <v>2520</v>
      </c>
      <c r="D21" s="50">
        <f t="shared" si="0"/>
        <v>1860</v>
      </c>
      <c r="E21" s="51">
        <f t="shared" si="1"/>
        <v>992</v>
      </c>
      <c r="F21" s="52">
        <f t="shared" si="2"/>
        <v>1488</v>
      </c>
      <c r="G21" s="33">
        <f t="shared" si="3"/>
        <v>496</v>
      </c>
      <c r="H21" s="52">
        <f t="shared" si="4"/>
        <v>2480</v>
      </c>
      <c r="I21" s="33">
        <f t="shared" si="5"/>
        <v>31</v>
      </c>
      <c r="J21" s="52">
        <f t="shared" si="6"/>
        <v>201.5</v>
      </c>
      <c r="K21" s="52">
        <f t="shared" si="7"/>
        <v>6029.5</v>
      </c>
      <c r="L21" s="38">
        <v>100</v>
      </c>
      <c r="M21" s="6">
        <f>L21*'Room Information'!$C$4</f>
        <v>1000</v>
      </c>
    </row>
    <row r="22" spans="1:13" x14ac:dyDescent="0.25">
      <c r="A22" s="33" t="s">
        <v>142</v>
      </c>
      <c r="B22" s="33">
        <v>30</v>
      </c>
      <c r="C22" s="50">
        <f t="shared" si="8"/>
        <v>2520</v>
      </c>
      <c r="D22" s="50">
        <f t="shared" si="0"/>
        <v>1800</v>
      </c>
      <c r="E22" s="51">
        <f t="shared" si="1"/>
        <v>960</v>
      </c>
      <c r="F22" s="52">
        <f t="shared" si="2"/>
        <v>1440</v>
      </c>
      <c r="G22" s="33">
        <f t="shared" si="3"/>
        <v>480</v>
      </c>
      <c r="H22" s="52">
        <f t="shared" si="4"/>
        <v>2400</v>
      </c>
      <c r="I22" s="33">
        <f t="shared" si="5"/>
        <v>30</v>
      </c>
      <c r="J22" s="52">
        <f t="shared" si="6"/>
        <v>195</v>
      </c>
      <c r="K22" s="52">
        <f t="shared" si="7"/>
        <v>5835</v>
      </c>
      <c r="L22" s="38">
        <v>140</v>
      </c>
      <c r="M22" s="6">
        <f>L22*'Room Information'!$C$4</f>
        <v>1400</v>
      </c>
    </row>
    <row r="23" spans="1:13" x14ac:dyDescent="0.25">
      <c r="A23" s="33" t="s">
        <v>143</v>
      </c>
      <c r="B23" s="33">
        <v>31</v>
      </c>
      <c r="C23" s="50">
        <f t="shared" si="8"/>
        <v>2520</v>
      </c>
      <c r="D23" s="50">
        <f t="shared" si="0"/>
        <v>1860</v>
      </c>
      <c r="E23" s="51">
        <f t="shared" si="1"/>
        <v>992</v>
      </c>
      <c r="F23" s="52">
        <f t="shared" si="2"/>
        <v>1488</v>
      </c>
      <c r="G23" s="33">
        <f t="shared" si="3"/>
        <v>496</v>
      </c>
      <c r="H23" s="52">
        <f t="shared" si="4"/>
        <v>2480</v>
      </c>
      <c r="I23" s="33">
        <f t="shared" si="5"/>
        <v>31</v>
      </c>
      <c r="J23" s="52">
        <f t="shared" si="6"/>
        <v>201.5</v>
      </c>
      <c r="K23" s="52">
        <f t="shared" si="7"/>
        <v>6029.5</v>
      </c>
      <c r="L23" s="38">
        <v>130</v>
      </c>
      <c r="M23" s="6">
        <f>L23*'Room Information'!$C$4</f>
        <v>1300</v>
      </c>
    </row>
    <row r="38" spans="5:6" x14ac:dyDescent="0.25">
      <c r="E38" s="42" t="s">
        <v>165</v>
      </c>
      <c r="F38" s="43"/>
    </row>
    <row r="39" spans="5:6" x14ac:dyDescent="0.25">
      <c r="E39" s="4" t="s">
        <v>159</v>
      </c>
      <c r="F39" s="6">
        <f>B7/8</f>
        <v>3.75</v>
      </c>
    </row>
    <row r="40" spans="5:6" x14ac:dyDescent="0.25">
      <c r="E40" s="4" t="s">
        <v>160</v>
      </c>
      <c r="F40" s="6">
        <f>(D6*2)/8</f>
        <v>1.5</v>
      </c>
    </row>
    <row r="41" spans="5:6" x14ac:dyDescent="0.25">
      <c r="E41" s="4" t="s">
        <v>168</v>
      </c>
      <c r="F41" s="6">
        <f>F6/8</f>
        <v>1.25</v>
      </c>
    </row>
    <row r="42" spans="5:6" x14ac:dyDescent="0.25">
      <c r="E42" s="4" t="s">
        <v>169</v>
      </c>
      <c r="F42" s="6">
        <f>H6/8</f>
        <v>0.8125</v>
      </c>
    </row>
    <row r="43" spans="5:6" x14ac:dyDescent="0.25">
      <c r="E43" s="4" t="s">
        <v>161</v>
      </c>
      <c r="F43" s="6">
        <v>25</v>
      </c>
    </row>
    <row r="44" spans="5:6" x14ac:dyDescent="0.25">
      <c r="E44" s="4" t="s">
        <v>162</v>
      </c>
      <c r="F44" s="6">
        <f>F43+F41+F42+F40+F39</f>
        <v>32.3125</v>
      </c>
    </row>
    <row r="45" spans="5:6" x14ac:dyDescent="0.25">
      <c r="E45" s="4" t="s">
        <v>163</v>
      </c>
      <c r="F45" s="6">
        <v>10</v>
      </c>
    </row>
    <row r="46" spans="5:6" x14ac:dyDescent="0.25">
      <c r="E46" s="4" t="s">
        <v>164</v>
      </c>
      <c r="F46" s="6">
        <f>F45-F44</f>
        <v>-22.3125</v>
      </c>
    </row>
  </sheetData>
  <mergeCells count="9">
    <mergeCell ref="A3:B3"/>
    <mergeCell ref="C3:D3"/>
    <mergeCell ref="A10:K10"/>
    <mergeCell ref="L10:M10"/>
    <mergeCell ref="E38:F38"/>
    <mergeCell ref="I3:J3"/>
    <mergeCell ref="K3:L3"/>
    <mergeCell ref="E3:F3"/>
    <mergeCell ref="G3:H3"/>
  </mergeCells>
  <dataValidations count="3">
    <dataValidation type="whole" allowBlank="1" showInputMessage="1" showErrorMessage="1" errorTitle="Invalid Input" error="You must enter a number for this cell." sqref="F4">
      <formula1>1</formula1>
      <formula2>99999999999999</formula2>
    </dataValidation>
    <dataValidation type="decimal" allowBlank="1" showInputMessage="1" showErrorMessage="1" errorTitle="Invalid input" error="You must enter a number for this cell." sqref="D4">
      <formula1>1</formula1>
      <formula2>9999999999</formula2>
    </dataValidation>
    <dataValidation type="decimal" showInputMessage="1" showErrorMessage="1" errorTitle="Invalid input" error="You must enter a number for this cell." sqref="B4:C7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U25"/>
  <sheetViews>
    <sheetView workbookViewId="0">
      <selection activeCell="F27" sqref="F27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20.140625" customWidth="1"/>
    <col min="13" max="13" width="18.5703125" customWidth="1"/>
    <col min="14" max="14" width="17.42578125" bestFit="1" customWidth="1"/>
    <col min="15" max="15" width="13.42578125" customWidth="1"/>
    <col min="17" max="19" width="11.5703125" customWidth="1"/>
    <col min="20" max="20" width="10.7109375" bestFit="1" customWidth="1"/>
  </cols>
  <sheetData>
    <row r="1" spans="1:21" ht="15" customHeight="1" x14ac:dyDescent="0.25">
      <c r="A1" s="20" t="str">
        <f>'Bookings Information'!A3</f>
        <v>Booking ID</v>
      </c>
      <c r="B1" s="20" t="str">
        <f>'Bookings Information'!C3</f>
        <v>Title</v>
      </c>
      <c r="C1" s="20" t="str">
        <f>'Bookings Information'!D3</f>
        <v>First Name</v>
      </c>
      <c r="D1" s="20" t="str">
        <f>'Bookings Information'!E3</f>
        <v>Second Name</v>
      </c>
      <c r="E1" s="20" t="str">
        <f>'Bookings Information'!H3</f>
        <v>Address Line 1</v>
      </c>
      <c r="F1" s="20" t="str">
        <f>'Bookings Information'!I3</f>
        <v>Address Line 2</v>
      </c>
      <c r="G1" s="20" t="str">
        <f>'Bookings Information'!J3</f>
        <v>Address Line 3</v>
      </c>
      <c r="H1" s="20" t="str">
        <f>'Bookings Information'!K3</f>
        <v>Address Line 4</v>
      </c>
      <c r="I1" s="20" t="str">
        <f>'Bookings Information'!L3</f>
        <v>Address Line 5</v>
      </c>
      <c r="J1" s="20" t="str">
        <f>'Room Information'!B3</f>
        <v>Room Type</v>
      </c>
      <c r="K1" s="7" t="str">
        <f>'Room Information'!C3</f>
        <v>Room Price</v>
      </c>
      <c r="L1" s="20" t="s">
        <v>73</v>
      </c>
      <c r="M1" s="20" t="s">
        <v>74</v>
      </c>
      <c r="N1" s="20" t="s">
        <v>89</v>
      </c>
      <c r="O1" s="20" t="s">
        <v>90</v>
      </c>
      <c r="P1" s="20" t="s">
        <v>92</v>
      </c>
      <c r="Q1" s="20" t="s">
        <v>93</v>
      </c>
      <c r="R1" s="20" t="s">
        <v>124</v>
      </c>
      <c r="S1" s="20" t="s">
        <v>85</v>
      </c>
      <c r="T1" s="20" t="s">
        <v>94</v>
      </c>
      <c r="U1" s="3"/>
    </row>
    <row r="2" spans="1:21" x14ac:dyDescent="0.25">
      <c r="A2" s="20" t="str">
        <f>'Bookings Information'!A4</f>
        <v>BOOK_001</v>
      </c>
      <c r="B2" s="20" t="str">
        <f>'Bookings Information'!C4</f>
        <v>Mrs</v>
      </c>
      <c r="C2" s="20" t="str">
        <f>'Bookings Information'!D4</f>
        <v>Paulina</v>
      </c>
      <c r="D2" s="20" t="str">
        <f>'Bookings Information'!E4</f>
        <v>Jebb</v>
      </c>
      <c r="E2" s="20" t="str">
        <f>'Bookings Information'!H4</f>
        <v>97 Salmon Street</v>
      </c>
      <c r="F2" s="20" t="str">
        <f>'Bookings Information'!I4</f>
        <v>Cheshire</v>
      </c>
      <c r="G2" s="20" t="str">
        <f>'Bookings Information'!J4</f>
        <v>Ingoo Plaza</v>
      </c>
      <c r="H2" s="20" t="str">
        <f>'Bookings Information'!K4</f>
        <v>England</v>
      </c>
      <c r="I2" s="20" t="str">
        <f>'Bookings Information'!L4</f>
        <v>SY7 8EE</v>
      </c>
      <c r="J2" s="20" t="str">
        <f>'Room Information'!B4</f>
        <v>Twin</v>
      </c>
      <c r="K2" s="24">
        <f>'Room Information'!C4</f>
        <v>10</v>
      </c>
      <c r="L2" s="22">
        <f>'Bookings Information'!S4</f>
        <v>41596</v>
      </c>
      <c r="M2" s="22">
        <f>'Bookings Information'!T4</f>
        <v>41603</v>
      </c>
      <c r="N2" s="20" t="str">
        <f>CONCATENATE('Bookings Information'!C4," ",'Bookings Information'!D4," ",'Bookings Information'!E4)</f>
        <v>Mrs Paulina Jebb</v>
      </c>
      <c r="O2" s="21" t="str">
        <f>'Bookings Information'!Y4</f>
        <v>£3.00</v>
      </c>
      <c r="P2" s="21" t="str">
        <f>'Bookings Information'!AA4</f>
        <v>£3.00</v>
      </c>
      <c r="Q2" s="21" t="str">
        <f>'Bookings Information'!AC4</f>
        <v>£1.50</v>
      </c>
      <c r="R2" s="21" t="str">
        <f>'Bookings Information'!W4</f>
        <v>£2.50</v>
      </c>
      <c r="S2" s="21">
        <f>'Bookings Information'!AE4</f>
        <v>80</v>
      </c>
      <c r="T2" s="23">
        <f ca="1">TODAY()</f>
        <v>41562</v>
      </c>
      <c r="U2" s="3"/>
    </row>
    <row r="3" spans="1:21" x14ac:dyDescent="0.25">
      <c r="A3" s="20" t="str">
        <f>'Bookings Information'!A5</f>
        <v>BOOK_002</v>
      </c>
      <c r="B3" s="20" t="str">
        <f>'Bookings Information'!C5</f>
        <v>Mrs</v>
      </c>
      <c r="C3" s="20" t="str">
        <f>'Bookings Information'!D5</f>
        <v>Paulina</v>
      </c>
      <c r="D3" s="20" t="str">
        <f>'Bookings Information'!E5</f>
        <v>Jebb</v>
      </c>
      <c r="E3" s="20" t="str">
        <f>'Bookings Information'!H5</f>
        <v>97 Salmon Street</v>
      </c>
      <c r="F3" s="20" t="str">
        <f>'Bookings Information'!I5</f>
        <v>Cheshire</v>
      </c>
      <c r="G3" s="20" t="str">
        <f>'Bookings Information'!J5</f>
        <v>Ingoo Plaza</v>
      </c>
      <c r="H3" s="20" t="str">
        <f>'Bookings Information'!K5</f>
        <v>England</v>
      </c>
      <c r="I3" s="20" t="str">
        <f>'Bookings Information'!L5</f>
        <v>SY7 8EE</v>
      </c>
      <c r="J3" s="20" t="str">
        <f>'Room Information'!B5</f>
        <v>Double</v>
      </c>
      <c r="K3" s="24">
        <f>'Room Information'!C5</f>
        <v>10</v>
      </c>
      <c r="L3" s="22">
        <f>'Bookings Information'!S5</f>
        <v>41491</v>
      </c>
      <c r="M3" s="22">
        <f>'Bookings Information'!T5</f>
        <v>41492</v>
      </c>
      <c r="N3" s="20" t="str">
        <f>CONCATENATE('Bookings Information'!C5," ",'Bookings Information'!D5," ",'Bookings Information'!E5)</f>
        <v>Mrs Paulina Jebb</v>
      </c>
      <c r="O3" s="21" t="str">
        <f>'Bookings Information'!Y5</f>
        <v>£5.00</v>
      </c>
      <c r="P3" s="21" t="str">
        <f>'Bookings Information'!AA5</f>
        <v>£5.00</v>
      </c>
      <c r="Q3" s="21" t="str">
        <f>'Bookings Information'!AC5</f>
        <v>£1.50</v>
      </c>
      <c r="R3" s="21" t="str">
        <f>'Bookings Information'!W5</f>
        <v>£2.50</v>
      </c>
      <c r="S3" s="21">
        <f>'Bookings Information'!AE5</f>
        <v>24</v>
      </c>
      <c r="T3" s="23">
        <f t="shared" ref="T3:T9" ca="1" si="0">TODAY()</f>
        <v>41562</v>
      </c>
    </row>
    <row r="4" spans="1:21" x14ac:dyDescent="0.25">
      <c r="A4" s="20" t="str">
        <f>'Bookings Information'!A6</f>
        <v>BOOK_003</v>
      </c>
      <c r="B4" s="20" t="str">
        <f>'Bookings Information'!C6</f>
        <v>Doctor</v>
      </c>
      <c r="C4" s="20" t="str">
        <f>'Bookings Information'!D6</f>
        <v>Paul</v>
      </c>
      <c r="D4" s="20" t="str">
        <f>'Bookings Information'!E6</f>
        <v>Jacobs</v>
      </c>
      <c r="E4" s="20" t="str">
        <f>'Bookings Information'!H6</f>
        <v>32 Chip Avenue</v>
      </c>
      <c r="F4" s="20" t="str">
        <f>'Bookings Information'!I6</f>
        <v>Birmingham</v>
      </c>
      <c r="G4" s="20" t="str">
        <f>'Bookings Information'!J6</f>
        <v>The Bullring</v>
      </c>
      <c r="H4" s="20" t="str">
        <f>'Bookings Information'!K6</f>
        <v>England</v>
      </c>
      <c r="I4" s="20" t="str">
        <f>'Bookings Information'!L6</f>
        <v>SY7 8EE</v>
      </c>
      <c r="J4" s="20" t="str">
        <f>'Room Information'!B6</f>
        <v>Twin</v>
      </c>
      <c r="K4" s="24">
        <f>'Room Information'!C6</f>
        <v>10</v>
      </c>
      <c r="L4" s="22">
        <f>'Bookings Information'!S6</f>
        <v>41432</v>
      </c>
      <c r="M4" s="22">
        <f>'Bookings Information'!T6</f>
        <v>41463</v>
      </c>
      <c r="N4" s="20" t="str">
        <f>CONCATENATE('Bookings Information'!C6," ",'Bookings Information'!D6," ",'Bookings Information'!E6)</f>
        <v>Doctor Paul Jacobs</v>
      </c>
      <c r="O4" s="21" t="str">
        <f>'Bookings Information'!Y6</f>
        <v>£10.00</v>
      </c>
      <c r="P4" s="21" t="str">
        <f>'Bookings Information'!AA6</f>
        <v>£5.00</v>
      </c>
      <c r="Q4" s="21" t="str">
        <f>'Bookings Information'!AC6</f>
        <v>£3.00</v>
      </c>
      <c r="R4" s="21" t="str">
        <f>'Bookings Information'!W6</f>
        <v>£0.00</v>
      </c>
      <c r="S4" s="21">
        <f>'Bookings Information'!AE6</f>
        <v>328</v>
      </c>
      <c r="T4" s="23">
        <f t="shared" ca="1" si="0"/>
        <v>41562</v>
      </c>
    </row>
    <row r="5" spans="1:21" x14ac:dyDescent="0.25">
      <c r="A5" s="20" t="str">
        <f>'Bookings Information'!A7</f>
        <v>BOOK_004</v>
      </c>
      <c r="B5" s="20" t="str">
        <f>'Bookings Information'!C7</f>
        <v>Lord</v>
      </c>
      <c r="C5" s="20" t="str">
        <f>'Bookings Information'!D7</f>
        <v>Alan</v>
      </c>
      <c r="D5" s="20" t="str">
        <f>'Bookings Information'!E7</f>
        <v>Sugar</v>
      </c>
      <c r="E5" s="20" t="str">
        <f>'Bookings Information'!H7</f>
        <v>12 Youview Lane</v>
      </c>
      <c r="F5" s="20" t="str">
        <f>'Bookings Information'!I7</f>
        <v>London</v>
      </c>
      <c r="G5" s="20" t="str">
        <f>'Bookings Information'!J7</f>
        <v>Hampshire</v>
      </c>
      <c r="H5" s="20" t="str">
        <f>'Bookings Information'!K7</f>
        <v>England</v>
      </c>
      <c r="I5" s="20" t="str">
        <f>'Bookings Information'!L7</f>
        <v>SY7 8EE</v>
      </c>
      <c r="J5" s="20" t="str">
        <f>'Room Information'!B7</f>
        <v>Double</v>
      </c>
      <c r="K5" s="24">
        <f>'Room Information'!C7</f>
        <v>10</v>
      </c>
      <c r="L5" s="22">
        <f>'Bookings Information'!S7</f>
        <v>41634</v>
      </c>
      <c r="M5" s="22">
        <f>'Bookings Information'!T7</f>
        <v>41640</v>
      </c>
      <c r="N5" s="20" t="str">
        <f>CONCATENATE('Bookings Information'!C7," ",'Bookings Information'!D7," ",'Bookings Information'!E7)</f>
        <v>Lord Alan Sugar</v>
      </c>
      <c r="O5" s="21" t="str">
        <f>'Bookings Information'!Y7</f>
        <v>£10.00</v>
      </c>
      <c r="P5" s="21" t="str">
        <f>'Bookings Information'!AA7</f>
        <v>£4.50</v>
      </c>
      <c r="Q5" s="21" t="str">
        <f>'Bookings Information'!AC7</f>
        <v>£10.00</v>
      </c>
      <c r="R5" s="21" t="str">
        <f>'Bookings Information'!W7</f>
        <v>£5.00</v>
      </c>
      <c r="S5" s="21">
        <f>'Bookings Information'!AE7</f>
        <v>89.5</v>
      </c>
      <c r="T5" s="23">
        <f t="shared" ca="1" si="0"/>
        <v>41562</v>
      </c>
    </row>
    <row r="6" spans="1:21" x14ac:dyDescent="0.25">
      <c r="A6" s="20" t="str">
        <f>'Bookings Information'!A8</f>
        <v>BOOK_005</v>
      </c>
      <c r="B6" s="20" t="str">
        <f>'Bookings Information'!C8</f>
        <v>Doctor</v>
      </c>
      <c r="C6" s="20" t="str">
        <f>'Bookings Information'!D8</f>
        <v>Tony</v>
      </c>
      <c r="D6" s="20" t="str">
        <f>'Bookings Information'!E8</f>
        <v>Blair</v>
      </c>
      <c r="E6" s="20" t="str">
        <f>'Bookings Information'!H8</f>
        <v>Hampshire Row</v>
      </c>
      <c r="F6" s="20" t="str">
        <f>'Bookings Information'!I8</f>
        <v>Reading</v>
      </c>
      <c r="G6" s="20" t="str">
        <f>'Bookings Information'!J8</f>
        <v xml:space="preserve"> Train Station</v>
      </c>
      <c r="H6" s="20" t="str">
        <f>'Bookings Information'!K8</f>
        <v>England</v>
      </c>
      <c r="I6" s="20" t="str">
        <f>'Bookings Information'!L8</f>
        <v>SY7 8EE</v>
      </c>
      <c r="J6" s="20" t="str">
        <f>'Room Information'!B8</f>
        <v>Twin</v>
      </c>
      <c r="K6" s="24">
        <f>'Room Information'!C8</f>
        <v>10</v>
      </c>
      <c r="L6" s="22">
        <f>'Bookings Information'!S8</f>
        <v>41363</v>
      </c>
      <c r="M6" s="22">
        <f>'Bookings Information'!T8</f>
        <v>41374</v>
      </c>
      <c r="N6" s="20" t="str">
        <f>CONCATENATE('Bookings Information'!C8," ",'Bookings Information'!D8," ",'Bookings Information'!E8)</f>
        <v>Doctor Tony Blair</v>
      </c>
      <c r="O6" s="21" t="str">
        <f>'Bookings Information'!Y8</f>
        <v>£5.00</v>
      </c>
      <c r="P6" s="21" t="str">
        <f>'Bookings Information'!AA8</f>
        <v>£3.00</v>
      </c>
      <c r="Q6" s="21" t="str">
        <f>'Bookings Information'!AC8</f>
        <v>£10.00</v>
      </c>
      <c r="R6" s="21" t="str">
        <f>'Bookings Information'!W8</f>
        <v>£5.00</v>
      </c>
      <c r="S6" s="21">
        <f>'Bookings Information'!AE8</f>
        <v>133</v>
      </c>
      <c r="T6" s="23">
        <f t="shared" ca="1" si="0"/>
        <v>41562</v>
      </c>
    </row>
    <row r="7" spans="1:21" x14ac:dyDescent="0.25">
      <c r="A7" s="20" t="str">
        <f>'Bookings Information'!A9</f>
        <v>BOOK_006</v>
      </c>
      <c r="B7" s="20" t="str">
        <f>'Bookings Information'!C9</f>
        <v>Ms</v>
      </c>
      <c r="C7" s="20" t="str">
        <f>'Bookings Information'!D9</f>
        <v>Samantha</v>
      </c>
      <c r="D7" s="20" t="str">
        <f>'Bookings Information'!E9</f>
        <v>Blair</v>
      </c>
      <c r="E7" s="20" t="str">
        <f>'Bookings Information'!H9</f>
        <v>85 Afghan Lane</v>
      </c>
      <c r="F7" s="20" t="str">
        <f>'Bookings Information'!I9</f>
        <v>London</v>
      </c>
      <c r="G7" s="20" t="str">
        <f>'Bookings Information'!J9</f>
        <v>Hampshire</v>
      </c>
      <c r="H7" s="20" t="str">
        <f>'Bookings Information'!K9</f>
        <v>England</v>
      </c>
      <c r="I7" s="20" t="str">
        <f>'Bookings Information'!L9</f>
        <v>SY7 8EE</v>
      </c>
      <c r="J7" s="20" t="str">
        <f>'Room Information'!B9</f>
        <v>Double</v>
      </c>
      <c r="K7" s="24">
        <f>'Room Information'!C9</f>
        <v>10</v>
      </c>
      <c r="L7" s="22">
        <f>'Bookings Information'!S9</f>
        <v>41435</v>
      </c>
      <c r="M7" s="22">
        <f>'Bookings Information'!T9</f>
        <v>41437</v>
      </c>
      <c r="N7" s="20" t="str">
        <f>CONCATENATE('Bookings Information'!C9," ",'Bookings Information'!D9," ",'Bookings Information'!E9)</f>
        <v>Ms Samantha Blair</v>
      </c>
      <c r="O7" s="21" t="str">
        <f>'Bookings Information'!Y9</f>
        <v>£5.00</v>
      </c>
      <c r="P7" s="21" t="str">
        <f>'Bookings Information'!AA9</f>
        <v>£10.00</v>
      </c>
      <c r="Q7" s="21" t="str">
        <f>'Bookings Information'!AC9</f>
        <v>£3.00</v>
      </c>
      <c r="R7" s="21" t="str">
        <f>'Bookings Information'!W9</f>
        <v>£6.50</v>
      </c>
      <c r="S7" s="21">
        <f>'Bookings Information'!AE9</f>
        <v>44.5</v>
      </c>
      <c r="T7" s="23">
        <f t="shared" ca="1" si="0"/>
        <v>41562</v>
      </c>
    </row>
    <row r="8" spans="1:21" x14ac:dyDescent="0.25">
      <c r="A8" s="20" t="str">
        <f>'Bookings Information'!A10</f>
        <v>BOOK_007</v>
      </c>
      <c r="B8" s="20" t="str">
        <f>'Bookings Information'!C10</f>
        <v>Doctor</v>
      </c>
      <c r="C8" s="20" t="str">
        <f>'Bookings Information'!D10</f>
        <v>Paul</v>
      </c>
      <c r="D8" s="20" t="str">
        <f>'Bookings Information'!E10</f>
        <v>Jacobs</v>
      </c>
      <c r="E8" s="20" t="str">
        <f>'Bookings Information'!H10</f>
        <v>32 Chip Avenue</v>
      </c>
      <c r="F8" s="20" t="str">
        <f>'Bookings Information'!I10</f>
        <v>London</v>
      </c>
      <c r="G8" s="20" t="str">
        <f>'Bookings Information'!J10</f>
        <v>Hampshire</v>
      </c>
      <c r="H8" s="20" t="str">
        <f>'Bookings Information'!K10</f>
        <v>England</v>
      </c>
      <c r="I8" s="20" t="str">
        <f>'Bookings Information'!L10</f>
        <v>SY7 8EE</v>
      </c>
      <c r="J8" s="20" t="str">
        <f>'Room Information'!B10</f>
        <v>Twin</v>
      </c>
      <c r="K8" s="24">
        <f>'Room Information'!C10</f>
        <v>10</v>
      </c>
      <c r="L8" s="22">
        <f>'Bookings Information'!S10</f>
        <v>41441</v>
      </c>
      <c r="M8" s="22">
        <f>'Bookings Information'!T10</f>
        <v>41446</v>
      </c>
      <c r="N8" s="20" t="str">
        <f>CONCATENATE('Bookings Information'!C10," ",'Bookings Information'!D10," ",'Bookings Information'!E10)</f>
        <v>Doctor Paul Jacobs</v>
      </c>
      <c r="O8" s="21" t="str">
        <f>'Bookings Information'!Y10</f>
        <v>£10.00</v>
      </c>
      <c r="P8" s="21" t="str">
        <f>'Bookings Information'!AA10</f>
        <v>£5.00</v>
      </c>
      <c r="Q8" s="21" t="str">
        <f>'Bookings Information'!AC10</f>
        <v>£1.50</v>
      </c>
      <c r="R8" s="21" t="str">
        <f>'Bookings Information'!W10</f>
        <v>£2.50</v>
      </c>
      <c r="S8" s="21">
        <f>'Bookings Information'!AE10</f>
        <v>69</v>
      </c>
      <c r="T8" s="23">
        <f t="shared" ca="1" si="0"/>
        <v>41562</v>
      </c>
    </row>
    <row r="9" spans="1:21" x14ac:dyDescent="0.25">
      <c r="A9" s="20" t="str">
        <f>'Bookings Information'!A11</f>
        <v>BOOK_008</v>
      </c>
      <c r="B9" s="20" t="str">
        <f>'Bookings Information'!C11</f>
        <v>Mrs</v>
      </c>
      <c r="C9" s="20" t="str">
        <f>'Bookings Information'!D11</f>
        <v>Paulina</v>
      </c>
      <c r="D9" s="20" t="str">
        <f>'Bookings Information'!E11</f>
        <v>Jebb</v>
      </c>
      <c r="E9" s="20" t="str">
        <f>'Bookings Information'!H11</f>
        <v>Hampshire Row</v>
      </c>
      <c r="F9" s="20" t="str">
        <f>'Bookings Information'!I11</f>
        <v>London</v>
      </c>
      <c r="G9" s="20" t="str">
        <f>'Bookings Information'!J11</f>
        <v>Hampshire</v>
      </c>
      <c r="H9" s="20" t="str">
        <f>'Bookings Information'!K11</f>
        <v>England</v>
      </c>
      <c r="I9" s="20" t="str">
        <f>'Bookings Information'!L11</f>
        <v>SY7 8EE</v>
      </c>
      <c r="J9" s="20" t="str">
        <f>'Room Information'!B11</f>
        <v>Double</v>
      </c>
      <c r="K9" s="24">
        <f>'Room Information'!C11</f>
        <v>10</v>
      </c>
      <c r="L9" s="22">
        <f>'Bookings Information'!S11</f>
        <v>41498</v>
      </c>
      <c r="M9" s="22">
        <f>'Bookings Information'!T11</f>
        <v>41500</v>
      </c>
      <c r="N9" s="20" t="str">
        <f>CONCATENATE('Bookings Information'!C11," ",'Bookings Information'!D11," ",'Bookings Information'!E11)</f>
        <v>Mrs Paulina Jebb</v>
      </c>
      <c r="O9" s="21" t="str">
        <f>'Bookings Information'!Y11</f>
        <v>£3.00</v>
      </c>
      <c r="P9" s="21" t="str">
        <f>'Bookings Information'!AA11</f>
        <v>£10.00</v>
      </c>
      <c r="Q9" s="21" t="str">
        <f>'Bookings Information'!AC11</f>
        <v>£10.00</v>
      </c>
      <c r="R9" s="21" t="str">
        <f>'Bookings Information'!W11</f>
        <v>£2.50</v>
      </c>
      <c r="S9" s="21">
        <f>'Bookings Information'!AE11</f>
        <v>45.5</v>
      </c>
      <c r="T9" s="23">
        <f t="shared" ca="1" si="0"/>
        <v>41562</v>
      </c>
    </row>
    <row r="10" spans="1:21" x14ac:dyDescent="0.25">
      <c r="A10" s="12"/>
      <c r="B10" s="12"/>
      <c r="C10" s="12"/>
      <c r="D10" s="11"/>
      <c r="E10" s="11"/>
      <c r="F10" s="11"/>
      <c r="G10" s="11"/>
      <c r="H10" s="11"/>
      <c r="I10" s="11"/>
      <c r="J10" s="12"/>
      <c r="K10" s="9"/>
      <c r="L10" s="9"/>
      <c r="M10" s="9"/>
      <c r="N10" s="9"/>
      <c r="O10" s="9"/>
      <c r="P10" s="17"/>
    </row>
    <row r="11" spans="1:21" x14ac:dyDescent="0.25">
      <c r="A11" s="12"/>
      <c r="B11" s="12"/>
      <c r="C11" s="12"/>
      <c r="D11" s="11"/>
      <c r="E11" s="11"/>
      <c r="F11" s="11"/>
      <c r="G11" s="11"/>
      <c r="H11" s="11"/>
      <c r="I11" s="11"/>
      <c r="J11" s="12"/>
      <c r="K11" s="9"/>
      <c r="L11" s="9"/>
      <c r="M11" s="9"/>
      <c r="N11" s="9"/>
      <c r="O11" s="9"/>
      <c r="P11" s="9"/>
    </row>
    <row r="12" spans="1:21" x14ac:dyDescent="0.25">
      <c r="A12" s="12"/>
      <c r="B12" s="12"/>
      <c r="C12" s="12"/>
      <c r="D12" s="11"/>
      <c r="E12" s="11"/>
      <c r="F12" s="11"/>
      <c r="G12" s="11"/>
      <c r="H12" s="11"/>
      <c r="I12" s="11"/>
      <c r="J12" s="12"/>
      <c r="K12" s="9"/>
      <c r="L12" s="9"/>
      <c r="M12" s="9"/>
      <c r="N12" s="9"/>
      <c r="O12" s="9"/>
      <c r="P12" s="9"/>
    </row>
    <row r="13" spans="1:21" x14ac:dyDescent="0.25">
      <c r="A13" s="12"/>
      <c r="B13" s="12"/>
      <c r="C13" s="12"/>
      <c r="D13" s="11"/>
      <c r="E13" s="11"/>
      <c r="F13" s="11"/>
      <c r="G13" s="11"/>
      <c r="H13" s="11"/>
      <c r="I13" s="11"/>
      <c r="J13" s="12"/>
      <c r="K13" s="9"/>
      <c r="L13" s="9"/>
      <c r="M13" s="9"/>
      <c r="N13" s="9"/>
      <c r="O13" s="9"/>
      <c r="P13" s="9"/>
    </row>
    <row r="14" spans="1:21" x14ac:dyDescent="0.25">
      <c r="A14" s="12"/>
      <c r="B14" s="12"/>
      <c r="C14" s="12"/>
      <c r="D14" s="11"/>
      <c r="E14" s="11"/>
      <c r="F14" s="11"/>
      <c r="G14" s="11"/>
      <c r="H14" s="11"/>
      <c r="I14" s="11"/>
      <c r="J14" s="12"/>
      <c r="K14" s="9"/>
      <c r="L14" s="9"/>
      <c r="M14" s="9"/>
      <c r="N14" s="9"/>
      <c r="O14" s="9"/>
      <c r="P14" s="9"/>
    </row>
    <row r="15" spans="1:21" x14ac:dyDescent="0.25">
      <c r="A15" s="12"/>
      <c r="B15" s="12"/>
      <c r="C15" s="12"/>
      <c r="D15" s="11"/>
      <c r="E15" s="11"/>
      <c r="F15" s="11"/>
      <c r="G15" s="11"/>
      <c r="H15" s="11"/>
      <c r="I15" s="11"/>
      <c r="J15" s="12"/>
      <c r="K15" s="9"/>
      <c r="L15" s="9"/>
      <c r="M15" s="9"/>
      <c r="N15" s="9"/>
      <c r="O15" s="9"/>
      <c r="P15" s="9"/>
    </row>
    <row r="16" spans="1:21" x14ac:dyDescent="0.25">
      <c r="A16" s="12"/>
      <c r="B16" s="12"/>
      <c r="C16" s="12"/>
      <c r="D16" s="11"/>
      <c r="E16" s="11"/>
      <c r="F16" s="11"/>
      <c r="G16" s="11"/>
      <c r="H16" s="11"/>
      <c r="I16" s="11"/>
      <c r="J16" s="12"/>
      <c r="K16" s="9"/>
      <c r="L16" s="9"/>
      <c r="M16" s="9"/>
      <c r="N16" s="9"/>
      <c r="O16" s="9"/>
      <c r="P16" s="9"/>
    </row>
    <row r="17" spans="1:16" x14ac:dyDescent="0.25">
      <c r="A17" s="12"/>
      <c r="B17" s="12"/>
      <c r="C17" s="12"/>
      <c r="D17" s="11"/>
      <c r="E17" s="11"/>
      <c r="F17" s="11"/>
      <c r="G17" s="11"/>
      <c r="H17" s="11"/>
      <c r="I17" s="11"/>
      <c r="J17" s="12"/>
      <c r="K17" s="9"/>
      <c r="L17" s="9"/>
      <c r="M17" s="9"/>
      <c r="N17" s="9"/>
      <c r="O17" s="9"/>
      <c r="P17" s="9"/>
    </row>
    <row r="18" spans="1:16" x14ac:dyDescent="0.25">
      <c r="A18" s="9"/>
      <c r="E18" s="11"/>
      <c r="G18" s="10"/>
    </row>
    <row r="19" spans="1:16" x14ac:dyDescent="0.25">
      <c r="A19" s="9"/>
      <c r="E19" s="11"/>
    </row>
    <row r="20" spans="1:16" x14ac:dyDescent="0.25">
      <c r="A20" s="9"/>
      <c r="E20" s="11"/>
    </row>
    <row r="21" spans="1:16" x14ac:dyDescent="0.25">
      <c r="A21" s="9"/>
      <c r="E21" s="11"/>
    </row>
    <row r="22" spans="1:16" x14ac:dyDescent="0.25">
      <c r="A22" s="9"/>
      <c r="E22" s="11"/>
    </row>
    <row r="23" spans="1:16" x14ac:dyDescent="0.25">
      <c r="A23" s="9"/>
    </row>
    <row r="24" spans="1:16" x14ac:dyDescent="0.25">
      <c r="A24" s="9"/>
    </row>
    <row r="25" spans="1:16" x14ac:dyDescent="0.25">
      <c r="A25" s="9"/>
    </row>
  </sheetData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Halster B+B</vt:lpstr>
      <vt:lpstr>Customer Information</vt:lpstr>
      <vt:lpstr>Bookings Information</vt:lpstr>
      <vt:lpstr>Room Information</vt:lpstr>
      <vt:lpstr>Finance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2013-10-15T08:18:47Z</dcterms:modified>
</cp:coreProperties>
</file>