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workbookProtection workbookPassword="EB95" lockStructure="1" lockWindows="1"/>
  <bookViews>
    <workbookView xWindow="480" yWindow="75" windowWidth="18195" windowHeight="11760" tabRatio="801" activeTab="4"/>
  </bookViews>
  <sheets>
    <sheet name="Halster B+B" sheetId="1" r:id="rId1"/>
    <sheet name="Customer Information" sheetId="6" r:id="rId2"/>
    <sheet name="Bookings Information" sheetId="7" r:id="rId3"/>
    <sheet name="Room Information" sheetId="8" r:id="rId4"/>
    <sheet name="Expenditure" sheetId="9" r:id="rId5"/>
    <sheet name="Invoice" sheetId="10" r:id="rId6"/>
  </sheets>
  <definedNames>
    <definedName name="_xlnm._FilterDatabase" localSheetId="1" hidden="1">'Customer Information'!$A$3:$A$11</definedName>
    <definedName name="data" localSheetId="5">Invoice!#REF!</definedName>
  </definedNames>
  <calcPr calcId="145621"/>
</workbook>
</file>

<file path=xl/calcChain.xml><?xml version="1.0" encoding="utf-8"?>
<calcChain xmlns="http://schemas.openxmlformats.org/spreadsheetml/2006/main">
  <c r="C20" i="9" l="1"/>
  <c r="C21" i="9"/>
  <c r="C22" i="9"/>
  <c r="C23" i="9"/>
  <c r="C24" i="9"/>
  <c r="C25" i="9"/>
  <c r="C26" i="9"/>
  <c r="C27" i="9"/>
  <c r="C28" i="9"/>
  <c r="C29" i="9"/>
  <c r="C30" i="9"/>
  <c r="C19" i="9"/>
  <c r="D20" i="9"/>
  <c r="D21" i="9"/>
  <c r="D22" i="9"/>
  <c r="D23" i="9"/>
  <c r="D24" i="9"/>
  <c r="D25" i="9"/>
  <c r="D26" i="9"/>
  <c r="D27" i="9"/>
  <c r="D28" i="9"/>
  <c r="D29" i="9"/>
  <c r="D30" i="9"/>
  <c r="D19" i="9"/>
  <c r="E20" i="9"/>
  <c r="E21" i="9"/>
  <c r="E22" i="9"/>
  <c r="E23" i="9"/>
  <c r="E24" i="9"/>
  <c r="E25" i="9"/>
  <c r="E26" i="9"/>
  <c r="E27" i="9"/>
  <c r="E28" i="9"/>
  <c r="E29" i="9"/>
  <c r="E30" i="9"/>
  <c r="E19" i="9"/>
  <c r="S22" i="7"/>
  <c r="Y5" i="7" l="1"/>
  <c r="I5" i="9" l="1"/>
  <c r="I6" i="9" s="1"/>
  <c r="W5" i="7"/>
  <c r="F6" i="7" l="1"/>
  <c r="G5" i="9" l="1"/>
  <c r="G6" i="9" s="1"/>
  <c r="K2" i="10"/>
  <c r="E5" i="9" l="1"/>
  <c r="E6" i="9" s="1"/>
  <c r="R3" i="10" l="1"/>
  <c r="R7" i="10"/>
  <c r="R8" i="10"/>
  <c r="R9" i="10"/>
  <c r="W6" i="7"/>
  <c r="R4" i="10" s="1"/>
  <c r="W7" i="7"/>
  <c r="R5" i="10" s="1"/>
  <c r="W8" i="7"/>
  <c r="R6" i="10" s="1"/>
  <c r="W9" i="7"/>
  <c r="W10" i="7"/>
  <c r="W11" i="7"/>
  <c r="W4" i="7"/>
  <c r="R2" i="10" s="1"/>
  <c r="T3" i="10" l="1"/>
  <c r="T4" i="10"/>
  <c r="T5" i="10"/>
  <c r="T6" i="10"/>
  <c r="T7" i="10"/>
  <c r="T8" i="10"/>
  <c r="T9" i="10"/>
  <c r="N3" i="7" l="1"/>
  <c r="O3" i="7"/>
  <c r="AA11" i="7"/>
  <c r="AA4" i="7"/>
  <c r="AA5" i="7"/>
  <c r="AA6" i="7"/>
  <c r="AA7" i="7"/>
  <c r="AA8" i="7"/>
  <c r="AA9" i="7"/>
  <c r="AA10" i="7"/>
  <c r="U5" i="7"/>
  <c r="U6" i="7"/>
  <c r="U7" i="7"/>
  <c r="U8" i="7"/>
  <c r="U9" i="7"/>
  <c r="U10" i="7"/>
  <c r="U11" i="7"/>
  <c r="U4" i="7"/>
  <c r="R5" i="7"/>
  <c r="R6" i="7"/>
  <c r="R7" i="7"/>
  <c r="R8" i="7"/>
  <c r="R9" i="7"/>
  <c r="R10" i="7"/>
  <c r="M3" i="10" l="1"/>
  <c r="M4" i="10"/>
  <c r="M5" i="10"/>
  <c r="M6" i="10"/>
  <c r="M7" i="10"/>
  <c r="M8" i="10"/>
  <c r="M9" i="10"/>
  <c r="M2" i="10"/>
  <c r="Q3" i="10"/>
  <c r="Q4" i="10"/>
  <c r="Q5" i="10"/>
  <c r="Q6" i="10"/>
  <c r="Q7" i="10"/>
  <c r="Q8" i="10"/>
  <c r="Q9" i="10"/>
  <c r="Q2" i="10"/>
  <c r="P4" i="10"/>
  <c r="P5" i="10"/>
  <c r="P6" i="10"/>
  <c r="P7" i="10"/>
  <c r="P8" i="10"/>
  <c r="P9" i="10"/>
  <c r="P2" i="10"/>
  <c r="O3" i="10"/>
  <c r="O4" i="10"/>
  <c r="O6" i="10"/>
  <c r="O7" i="10"/>
  <c r="O8" i="10"/>
  <c r="O9" i="10"/>
  <c r="O2" i="10"/>
  <c r="AC5" i="7"/>
  <c r="AC6" i="7"/>
  <c r="AC7" i="7"/>
  <c r="AC8" i="7"/>
  <c r="AC9" i="7"/>
  <c r="AC10" i="7"/>
  <c r="AC11" i="7"/>
  <c r="AC4" i="7"/>
  <c r="P3" i="10"/>
  <c r="Y6" i="7"/>
  <c r="Y7" i="7"/>
  <c r="Y8" i="7"/>
  <c r="Y9" i="7"/>
  <c r="Y10" i="7"/>
  <c r="Y11" i="7"/>
  <c r="Y4" i="7"/>
  <c r="O5" i="10" l="1"/>
  <c r="T2" i="10"/>
  <c r="L3" i="10" l="1"/>
  <c r="L4" i="10"/>
  <c r="L5" i="10"/>
  <c r="L6" i="10"/>
  <c r="L7" i="10"/>
  <c r="L8" i="10"/>
  <c r="L9" i="10"/>
  <c r="L2" i="10"/>
  <c r="K1" i="10"/>
  <c r="K3" i="10"/>
  <c r="K4" i="10"/>
  <c r="K5" i="10"/>
  <c r="K6" i="10"/>
  <c r="K7" i="10"/>
  <c r="K8" i="10"/>
  <c r="K9" i="10"/>
  <c r="J2" i="10"/>
  <c r="J3" i="10"/>
  <c r="J4" i="10"/>
  <c r="J5" i="10"/>
  <c r="J6" i="10"/>
  <c r="J7" i="10"/>
  <c r="J8" i="10"/>
  <c r="J9" i="10"/>
  <c r="J1" i="10"/>
  <c r="H1" i="10"/>
  <c r="F1" i="10"/>
  <c r="G1" i="10"/>
  <c r="I1" i="10"/>
  <c r="E1" i="10"/>
  <c r="D1" i="10"/>
  <c r="C1" i="10"/>
  <c r="B1" i="10"/>
  <c r="A2" i="10"/>
  <c r="A3" i="10"/>
  <c r="A4" i="10"/>
  <c r="A5" i="10"/>
  <c r="A6" i="10"/>
  <c r="A7" i="10"/>
  <c r="A8" i="10"/>
  <c r="A9" i="10"/>
  <c r="A1" i="10"/>
  <c r="Q11" i="7" l="1"/>
  <c r="R11" i="7" s="1"/>
  <c r="Q4" i="7"/>
  <c r="R4" i="7" s="1"/>
  <c r="N11" i="7" l="1"/>
  <c r="N5" i="7"/>
  <c r="N6" i="7"/>
  <c r="N7" i="7"/>
  <c r="N8" i="7"/>
  <c r="N9" i="7"/>
  <c r="N10" i="7"/>
  <c r="N4" i="7"/>
  <c r="P5" i="7"/>
  <c r="P6" i="7"/>
  <c r="P7" i="7"/>
  <c r="P8" i="7"/>
  <c r="P9" i="7"/>
  <c r="P10" i="7"/>
  <c r="P11" i="7"/>
  <c r="P4" i="7"/>
  <c r="O5" i="7"/>
  <c r="AD5" i="7" s="1"/>
  <c r="AE5" i="7" s="1"/>
  <c r="S3" i="10" s="1"/>
  <c r="O6" i="7"/>
  <c r="AD6" i="7" s="1"/>
  <c r="AE6" i="7" s="1"/>
  <c r="S4" i="10" s="1"/>
  <c r="O7" i="7"/>
  <c r="AD7" i="7" s="1"/>
  <c r="AE7" i="7" s="1"/>
  <c r="S5" i="10" s="1"/>
  <c r="O8" i="7"/>
  <c r="AD8" i="7" s="1"/>
  <c r="AE8" i="7" s="1"/>
  <c r="S6" i="10" s="1"/>
  <c r="O9" i="7"/>
  <c r="AD9" i="7" s="1"/>
  <c r="AE9" i="7" s="1"/>
  <c r="S7" i="10" s="1"/>
  <c r="O10" i="7"/>
  <c r="AD10" i="7" s="1"/>
  <c r="AE10" i="7" s="1"/>
  <c r="S8" i="10" s="1"/>
  <c r="O11" i="7"/>
  <c r="AD11" i="7" s="1"/>
  <c r="AE11" i="7" s="1"/>
  <c r="S9" i="10" s="1"/>
  <c r="O4" i="7"/>
  <c r="AD4" i="7" s="1"/>
  <c r="AE4" i="7" s="1"/>
  <c r="S2" i="10" s="1"/>
  <c r="L5" i="7"/>
  <c r="I3" i="10" s="1"/>
  <c r="L6" i="7"/>
  <c r="I4" i="10" s="1"/>
  <c r="L7" i="7"/>
  <c r="I5" i="10" s="1"/>
  <c r="L8" i="7"/>
  <c r="I6" i="10" s="1"/>
  <c r="L9" i="7"/>
  <c r="I7" i="10" s="1"/>
  <c r="L10" i="7"/>
  <c r="I8" i="10" s="1"/>
  <c r="L11" i="7"/>
  <c r="I9" i="10" s="1"/>
  <c r="L4" i="7"/>
  <c r="I2" i="10" s="1"/>
  <c r="K5" i="7"/>
  <c r="H3" i="10" s="1"/>
  <c r="K6" i="7"/>
  <c r="H4" i="10" s="1"/>
  <c r="K7" i="7"/>
  <c r="H5" i="10" s="1"/>
  <c r="K8" i="7"/>
  <c r="H6" i="10" s="1"/>
  <c r="K9" i="7"/>
  <c r="H7" i="10" s="1"/>
  <c r="K10" i="7"/>
  <c r="H8" i="10" s="1"/>
  <c r="K11" i="7"/>
  <c r="H9" i="10" s="1"/>
  <c r="K4" i="7"/>
  <c r="H2" i="10" s="1"/>
  <c r="J5" i="7"/>
  <c r="G3" i="10" s="1"/>
  <c r="J6" i="7"/>
  <c r="G4" i="10" s="1"/>
  <c r="J7" i="7"/>
  <c r="G5" i="10" s="1"/>
  <c r="J8" i="7"/>
  <c r="G6" i="10" s="1"/>
  <c r="J9" i="7"/>
  <c r="G7" i="10" s="1"/>
  <c r="J10" i="7"/>
  <c r="G8" i="10" s="1"/>
  <c r="J11" i="7"/>
  <c r="G9" i="10" s="1"/>
  <c r="J4" i="7"/>
  <c r="G2" i="10" s="1"/>
  <c r="I5" i="7"/>
  <c r="F3" i="10" s="1"/>
  <c r="I6" i="7"/>
  <c r="F4" i="10" s="1"/>
  <c r="I7" i="7"/>
  <c r="F5" i="10" s="1"/>
  <c r="I8" i="7"/>
  <c r="F6" i="10" s="1"/>
  <c r="I9" i="7"/>
  <c r="F7" i="10" s="1"/>
  <c r="I10" i="7"/>
  <c r="F8" i="10" s="1"/>
  <c r="I11" i="7"/>
  <c r="F9" i="10" s="1"/>
  <c r="I4" i="7"/>
  <c r="F2" i="10" s="1"/>
  <c r="H5" i="7"/>
  <c r="E3" i="10" s="1"/>
  <c r="H6" i="7"/>
  <c r="E4" i="10" s="1"/>
  <c r="H7" i="7"/>
  <c r="E5" i="10" s="1"/>
  <c r="H8" i="7"/>
  <c r="E6" i="10" s="1"/>
  <c r="H9" i="7"/>
  <c r="E7" i="10" s="1"/>
  <c r="H10" i="7"/>
  <c r="E8" i="10" s="1"/>
  <c r="H11" i="7"/>
  <c r="E9" i="10" s="1"/>
  <c r="H4" i="7"/>
  <c r="E2" i="10" s="1"/>
  <c r="G5" i="7"/>
  <c r="G6" i="7"/>
  <c r="G7" i="7"/>
  <c r="G8" i="7"/>
  <c r="G9" i="7"/>
  <c r="G10" i="7"/>
  <c r="G11" i="7"/>
  <c r="G4" i="7"/>
  <c r="F5" i="7"/>
  <c r="F7" i="7"/>
  <c r="F8" i="7"/>
  <c r="F9" i="7"/>
  <c r="F10" i="7"/>
  <c r="F11" i="7"/>
  <c r="F4" i="7"/>
  <c r="E5" i="7"/>
  <c r="D3" i="10" s="1"/>
  <c r="E6" i="7"/>
  <c r="D4" i="10" s="1"/>
  <c r="E7" i="7"/>
  <c r="D5" i="10" s="1"/>
  <c r="E8" i="7"/>
  <c r="D6" i="10" s="1"/>
  <c r="E9" i="7"/>
  <c r="D7" i="10" s="1"/>
  <c r="E10" i="7"/>
  <c r="D8" i="10" s="1"/>
  <c r="E11" i="7"/>
  <c r="D9" i="10" s="1"/>
  <c r="E4" i="7"/>
  <c r="D2" i="10" s="1"/>
  <c r="D5" i="7"/>
  <c r="C3" i="10" s="1"/>
  <c r="D6" i="7"/>
  <c r="C4" i="10" s="1"/>
  <c r="D7" i="7"/>
  <c r="C5" i="10" s="1"/>
  <c r="D8" i="7"/>
  <c r="C6" i="10" s="1"/>
  <c r="D9" i="7"/>
  <c r="C7" i="10" s="1"/>
  <c r="D10" i="7"/>
  <c r="C8" i="10" s="1"/>
  <c r="D11" i="7"/>
  <c r="C9" i="10" s="1"/>
  <c r="D4" i="7"/>
  <c r="C2" i="10" s="1"/>
  <c r="C4" i="7"/>
  <c r="C5" i="7"/>
  <c r="C6" i="7"/>
  <c r="C7" i="7"/>
  <c r="C8" i="7"/>
  <c r="C9" i="7"/>
  <c r="C10" i="7"/>
  <c r="C11" i="7"/>
  <c r="B9" i="10" l="1"/>
  <c r="N9" i="10"/>
  <c r="B5" i="10"/>
  <c r="N5" i="10"/>
  <c r="B8" i="10"/>
  <c r="N8" i="10"/>
  <c r="B4" i="10"/>
  <c r="N4" i="10"/>
  <c r="B7" i="10"/>
  <c r="N7" i="10"/>
  <c r="B3" i="10"/>
  <c r="N3" i="10"/>
  <c r="B6" i="10"/>
  <c r="N6" i="10"/>
  <c r="B2" i="10"/>
  <c r="N2" i="10"/>
  <c r="P3" i="7"/>
  <c r="M3" i="7"/>
</calcChain>
</file>

<file path=xl/connections.xml><?xml version="1.0" encoding="utf-8"?>
<connections xmlns="http://schemas.openxmlformats.org/spreadsheetml/2006/main">
  <connection id="1" name="data" type="6" refreshedVersion="4" background="1">
    <textPr codePage="932" sourceFile="U:\ICT\Year 10 Core ICT\CA_Dee_Roberts\Booking System\data.txt">
      <textFields>
        <textField/>
      </textFields>
    </textPr>
  </connection>
</connections>
</file>

<file path=xl/sharedStrings.xml><?xml version="1.0" encoding="utf-8"?>
<sst xmlns="http://schemas.openxmlformats.org/spreadsheetml/2006/main" count="254" uniqueCount="150">
  <si>
    <t>Customer ID</t>
  </si>
  <si>
    <t>Title</t>
  </si>
  <si>
    <t>First Name</t>
  </si>
  <si>
    <t>Second Name</t>
  </si>
  <si>
    <t>Address Line 1</t>
  </si>
  <si>
    <t>Address Line 2</t>
  </si>
  <si>
    <t>Address Line 3</t>
  </si>
  <si>
    <t>Address Line 4</t>
  </si>
  <si>
    <t>Address Line 5</t>
  </si>
  <si>
    <t>CUST_001</t>
  </si>
  <si>
    <t>CUST_002</t>
  </si>
  <si>
    <t>CUST_003</t>
  </si>
  <si>
    <t>CUST_004</t>
  </si>
  <si>
    <t>CUST_005</t>
  </si>
  <si>
    <t>CUST_006</t>
  </si>
  <si>
    <t>CUST_007</t>
  </si>
  <si>
    <t>CUST_008</t>
  </si>
  <si>
    <t>Ms</t>
  </si>
  <si>
    <t>Samantha</t>
  </si>
  <si>
    <t>85 Afghan Lane</t>
  </si>
  <si>
    <t>London</t>
  </si>
  <si>
    <t>Westminster</t>
  </si>
  <si>
    <t>England</t>
  </si>
  <si>
    <t>SY7 8EE</t>
  </si>
  <si>
    <t>Mrs</t>
  </si>
  <si>
    <t>Jebb</t>
  </si>
  <si>
    <t>Paulina</t>
  </si>
  <si>
    <t>97 Salmon Street</t>
  </si>
  <si>
    <t>Cheshire</t>
  </si>
  <si>
    <t>Ingoo Plaza</t>
  </si>
  <si>
    <t>Doctor</t>
  </si>
  <si>
    <t>Paul</t>
  </si>
  <si>
    <t>Jacobs</t>
  </si>
  <si>
    <t>32 Chip Avenue</t>
  </si>
  <si>
    <t>Birmingham</t>
  </si>
  <si>
    <t>The Bullring</t>
  </si>
  <si>
    <t>Lord</t>
  </si>
  <si>
    <t>Alan</t>
  </si>
  <si>
    <t>Sugar</t>
  </si>
  <si>
    <t>12 Youview Lane</t>
  </si>
  <si>
    <t>Hampshire</t>
  </si>
  <si>
    <t>Email Address</t>
  </si>
  <si>
    <t>Contact Number</t>
  </si>
  <si>
    <t>iraq@gov.com</t>
  </si>
  <si>
    <t>87864 345678</t>
  </si>
  <si>
    <t>87864 345679</t>
  </si>
  <si>
    <t>87864 345680</t>
  </si>
  <si>
    <t>87864 345681</t>
  </si>
  <si>
    <t>87864 345682</t>
  </si>
  <si>
    <t>87864 345683</t>
  </si>
  <si>
    <t>87864 345684</t>
  </si>
  <si>
    <t>87864 345685</t>
  </si>
  <si>
    <t>Tony</t>
  </si>
  <si>
    <t>Blair</t>
  </si>
  <si>
    <t>Hampshire Row</t>
  </si>
  <si>
    <t>foodie@gmail.com</t>
  </si>
  <si>
    <t xml:space="preserve"> Train Station</t>
  </si>
  <si>
    <t>Reading</t>
  </si>
  <si>
    <t>Room ID</t>
  </si>
  <si>
    <t>RM_01</t>
  </si>
  <si>
    <t>RM_02</t>
  </si>
  <si>
    <t>RM_03</t>
  </si>
  <si>
    <t>RM_04</t>
  </si>
  <si>
    <t>RM_05</t>
  </si>
  <si>
    <t>RM_06</t>
  </si>
  <si>
    <t>RM_07</t>
  </si>
  <si>
    <t>RM_08</t>
  </si>
  <si>
    <t>Room Type</t>
  </si>
  <si>
    <t>Double</t>
  </si>
  <si>
    <t>Twin</t>
  </si>
  <si>
    <t>Room Price</t>
  </si>
  <si>
    <t>Room Availability</t>
  </si>
  <si>
    <t>Booking ID</t>
  </si>
  <si>
    <t>Arrival Date</t>
  </si>
  <si>
    <t>Departure Date</t>
  </si>
  <si>
    <t>Number of Nights</t>
  </si>
  <si>
    <t>Booking Date</t>
  </si>
  <si>
    <t>Days until arrival</t>
  </si>
  <si>
    <t>Room Booked</t>
  </si>
  <si>
    <t>Cleaning Services</t>
  </si>
  <si>
    <t>Internet Access</t>
  </si>
  <si>
    <t>Telephone Access</t>
  </si>
  <si>
    <t>Full Service</t>
  </si>
  <si>
    <t>Room Only</t>
  </si>
  <si>
    <t>Clothes Only</t>
  </si>
  <si>
    <t>Total Price</t>
  </si>
  <si>
    <t>Mornings</t>
  </si>
  <si>
    <t>All hours</t>
  </si>
  <si>
    <t>Afternoons</t>
  </si>
  <si>
    <t>Full Name</t>
  </si>
  <si>
    <t xml:space="preserve">Cleaning </t>
  </si>
  <si>
    <t>Cleaning Charge</t>
  </si>
  <si>
    <t>Internet</t>
  </si>
  <si>
    <t>Phone</t>
  </si>
  <si>
    <t>Date</t>
  </si>
  <si>
    <t>BOOK_001</t>
  </si>
  <si>
    <t>BOOK_002</t>
  </si>
  <si>
    <t>BOOK_003</t>
  </si>
  <si>
    <t>BOOK_004</t>
  </si>
  <si>
    <t>BOOK_005</t>
  </si>
  <si>
    <t>BOOK_006</t>
  </si>
  <si>
    <t>BOOK_007</t>
  </si>
  <si>
    <t>BOOK_008</t>
  </si>
  <si>
    <t>Internet Charge</t>
  </si>
  <si>
    <t>Telephone Charge</t>
  </si>
  <si>
    <t>10 Minutes</t>
  </si>
  <si>
    <t>20 Minutes</t>
  </si>
  <si>
    <t>Available</t>
  </si>
  <si>
    <t>Not available</t>
  </si>
  <si>
    <t>Evenings</t>
  </si>
  <si>
    <t>All Day</t>
  </si>
  <si>
    <t>Total Cost</t>
  </si>
  <si>
    <t>Total Room Cost</t>
  </si>
  <si>
    <t>Cleaners</t>
  </si>
  <si>
    <t>Number of Cleaners</t>
  </si>
  <si>
    <t>Current Minimum Wage</t>
  </si>
  <si>
    <t>Hours Per Week</t>
  </si>
  <si>
    <t>Daily Cost</t>
  </si>
  <si>
    <t>Food Services</t>
  </si>
  <si>
    <t>Lunch</t>
  </si>
  <si>
    <t>Breakfast</t>
  </si>
  <si>
    <t>All Meals</t>
  </si>
  <si>
    <t>Evening</t>
  </si>
  <si>
    <t>Food Charge</t>
  </si>
  <si>
    <t>No Meals</t>
  </si>
  <si>
    <t>Food</t>
  </si>
  <si>
    <t>Breakfast Cost</t>
  </si>
  <si>
    <t>Lunch Cost</t>
  </si>
  <si>
    <t>Breakfast Customers</t>
  </si>
  <si>
    <t>Lunch Customers</t>
  </si>
  <si>
    <t>Individual Cost</t>
  </si>
  <si>
    <t>Evening Meal Cost</t>
  </si>
  <si>
    <t>Evening Customers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</si>
  <si>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</si>
  <si>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</si>
  <si>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</si>
  <si>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</si>
  <si>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</si>
  <si>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</si>
  <si>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</si>
  <si>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</si>
  <si>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</si>
  <si>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</si>
  <si>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</si>
  <si>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</si>
  <si>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Months</t>
  </si>
  <si>
    <t>Days in month</t>
  </si>
  <si>
    <t>Monthly cost of cleaners</t>
  </si>
  <si>
    <t>Daily cost of cleaners</t>
  </si>
  <si>
    <t>Weekly cost of cleaners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</si>
</sst>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£&quot;#,##0.00;[Red]\-&quot;£&quot;#,##0.00"/>
    <numFmt numFmtId="164" formatCode="&quot;£&quot;#,##0.00"/>
  </numFmts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9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0" xfId="0" applyAlignment="1">
      <alignment horizontal="center"/>
    </xf>
    <xf numFmtId="16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8" fontId="0" fillId="0" borderId="0" xfId="0" applyNumberFormat="1" applyAlignment="1">
      <alignment horizontal="center"/>
    </xf>
    <xf numFmtId="18" fontId="0" fillId="0" borderId="0" xfId="0" applyNumberFormat="1"/>
    <xf numFmtId="164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8" fontId="0" fillId="0" borderId="1" xfId="0" applyNumberFormat="1" applyFill="1" applyBorder="1" applyAlignment="1">
      <alignment horizontal="center"/>
    </xf>
    <xf numFmtId="14" fontId="0" fillId="0" borderId="1" xfId="0" applyNumberFormat="1" applyFill="1" applyBorder="1" applyAlignment="1">
      <alignment horizontal="center"/>
    </xf>
    <xf numFmtId="14" fontId="0" fillId="0" borderId="1" xfId="0" applyNumberFormat="1" applyFill="1" applyBorder="1"/>
    <xf numFmtId="164" fontId="0" fillId="0" borderId="1" xfId="0" applyNumberForma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4" borderId="3" xfId="0" applyFont="1" applyFill="1" applyBorder="1" applyAlignment="1">
      <alignment vertical="center"/>
    </xf>
    <xf numFmtId="0" fontId="2" fillId="5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8" fontId="0" fillId="0" borderId="1" xfId="0" applyNumberForma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0" borderId="1" xfId="0" applyBorder="1" applyAlignment="1" applyProtection="1">
      <alignment horizontal="center"/>
    </xf>
    <xf numFmtId="0" fontId="1" fillId="0" borderId="1" xfId="1" applyBorder="1" applyAlignment="1" applyProtection="1">
      <alignment horizontal="center"/>
    </xf>
    <xf numFmtId="164" fontId="0" fillId="0" borderId="1" xfId="0" applyNumberFormat="1" applyBorder="1" applyAlignment="1" applyProtection="1">
      <alignment horizontal="center" vertical="center"/>
    </xf>
    <xf numFmtId="14" fontId="0" fillId="0" borderId="1" xfId="0" applyNumberFormat="1" applyBorder="1" applyAlignment="1" applyProtection="1">
      <alignment horizontal="center" vertical="center"/>
    </xf>
    <xf numFmtId="164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8" fontId="0" fillId="0" borderId="1" xfId="0" applyNumberFormat="1" applyBorder="1" applyAlignment="1" applyProtection="1">
      <alignment horizontal="center"/>
      <protection locked="0"/>
    </xf>
    <xf numFmtId="0" fontId="2" fillId="4" borderId="1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164" fontId="0" fillId="0" borderId="5" xfId="0" applyNumberFormat="1" applyBorder="1" applyAlignment="1" applyProtection="1">
      <alignment horizontal="center"/>
      <protection locked="0"/>
    </xf>
    <xf numFmtId="0" fontId="2" fillId="4" borderId="6" xfId="0" applyFont="1" applyFill="1" applyBorder="1" applyAlignment="1">
      <alignment horizontal="center"/>
    </xf>
    <xf numFmtId="164" fontId="0" fillId="0" borderId="0" xfId="0" applyNumberFormat="1" applyBorder="1" applyAlignment="1" applyProtection="1">
      <alignment horizontal="center"/>
      <protection locked="0"/>
    </xf>
    <xf numFmtId="164" fontId="0" fillId="0" borderId="1" xfId="0" applyNumberFormat="1" applyBorder="1"/>
  </cellXfs>
  <cellStyles count="2">
    <cellStyle name="Hyperlink" xfId="1" builtinId="8"/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Expenditure!A1"/><Relationship Id="rId2" Type="http://schemas.openxmlformats.org/officeDocument/2006/relationships/hyperlink" Target="#Invoice!A1"/><Relationship Id="rId1" Type="http://schemas.openxmlformats.org/officeDocument/2006/relationships/hyperlink" Target="#'Customer Information'!A1"/><Relationship Id="rId5" Type="http://schemas.openxmlformats.org/officeDocument/2006/relationships/hyperlink" Target="#'Bookings Information'!A1"/><Relationship Id="rId4" Type="http://schemas.openxmlformats.org/officeDocument/2006/relationships/hyperlink" Target="#'Room Information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Expenditure!A1"/><Relationship Id="rId2" Type="http://schemas.openxmlformats.org/officeDocument/2006/relationships/hyperlink" Target="#Invoice!A1"/><Relationship Id="rId1" Type="http://schemas.openxmlformats.org/officeDocument/2006/relationships/hyperlink" Target="#'Customer Information'!A1"/><Relationship Id="rId5" Type="http://schemas.openxmlformats.org/officeDocument/2006/relationships/hyperlink" Target="#'Bookings Information'!A1"/><Relationship Id="rId4" Type="http://schemas.openxmlformats.org/officeDocument/2006/relationships/hyperlink" Target="#'Room Information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Expenditure!A1"/><Relationship Id="rId2" Type="http://schemas.openxmlformats.org/officeDocument/2006/relationships/hyperlink" Target="#Invoice!A1"/><Relationship Id="rId1" Type="http://schemas.openxmlformats.org/officeDocument/2006/relationships/hyperlink" Target="#'Customer Information'!A1"/><Relationship Id="rId5" Type="http://schemas.openxmlformats.org/officeDocument/2006/relationships/hyperlink" Target="#'Bookings Information'!A1"/><Relationship Id="rId4" Type="http://schemas.openxmlformats.org/officeDocument/2006/relationships/hyperlink" Target="#'Room Information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Expenditure!A1"/><Relationship Id="rId2" Type="http://schemas.openxmlformats.org/officeDocument/2006/relationships/hyperlink" Target="#Invoice!A1"/><Relationship Id="rId1" Type="http://schemas.openxmlformats.org/officeDocument/2006/relationships/hyperlink" Target="#'Customer Information'!A1"/><Relationship Id="rId5" Type="http://schemas.openxmlformats.org/officeDocument/2006/relationships/hyperlink" Target="#'Bookings Information'!A1"/><Relationship Id="rId4" Type="http://schemas.openxmlformats.org/officeDocument/2006/relationships/hyperlink" Target="#'Room Information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Expenditure!A1"/><Relationship Id="rId2" Type="http://schemas.openxmlformats.org/officeDocument/2006/relationships/hyperlink" Target="#Invoice!A1"/><Relationship Id="rId1" Type="http://schemas.openxmlformats.org/officeDocument/2006/relationships/hyperlink" Target="#'Customer Information'!A1"/><Relationship Id="rId5" Type="http://schemas.openxmlformats.org/officeDocument/2006/relationships/hyperlink" Target="#'Bookings Information'!A1"/><Relationship Id="rId4" Type="http://schemas.openxmlformats.org/officeDocument/2006/relationships/hyperlink" Target="#'Room Information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Expenditure!A1"/><Relationship Id="rId2" Type="http://schemas.openxmlformats.org/officeDocument/2006/relationships/hyperlink" Target="#Invoice!A1"/><Relationship Id="rId1" Type="http://schemas.openxmlformats.org/officeDocument/2006/relationships/hyperlink" Target="#'Customer Information'!A1"/><Relationship Id="rId5" Type="http://schemas.openxmlformats.org/officeDocument/2006/relationships/hyperlink" Target="#'Bookings Information'!A1"/><Relationship Id="rId4" Type="http://schemas.openxmlformats.org/officeDocument/2006/relationships/hyperlink" Target="#'Room Information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0</xdr:row>
      <xdr:rowOff>238125</xdr:rowOff>
    </xdr:from>
    <xdr:to>
      <xdr:col>18</xdr:col>
      <xdr:colOff>19050</xdr:colOff>
      <xdr:row>0</xdr:row>
      <xdr:rowOff>971550</xdr:rowOff>
    </xdr:to>
    <xdr:sp macro="" textlink="">
      <xdr:nvSpPr>
        <xdr:cNvPr id="2" name="TextBox 1"/>
        <xdr:cNvSpPr txBox="1"/>
      </xdr:nvSpPr>
      <xdr:spPr>
        <a:xfrm>
          <a:off x="885825" y="238125"/>
          <a:ext cx="10106025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Booking System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  <xdr:twoCellAnchor>
    <xdr:from>
      <xdr:col>0</xdr:col>
      <xdr:colOff>1</xdr:colOff>
      <xdr:row>2</xdr:row>
      <xdr:rowOff>57151</xdr:rowOff>
    </xdr:from>
    <xdr:to>
      <xdr:col>3</xdr:col>
      <xdr:colOff>114301</xdr:colOff>
      <xdr:row>6</xdr:row>
      <xdr:rowOff>85725</xdr:rowOff>
    </xdr:to>
    <xdr:sp macro="" textlink="">
      <xdr:nvSpPr>
        <xdr:cNvPr id="6" name="Rectangle 5">
          <a:hlinkClick xmlns:r="http://schemas.openxmlformats.org/officeDocument/2006/relationships" r:id="rId1"/>
        </xdr:cNvPr>
        <xdr:cNvSpPr/>
      </xdr:nvSpPr>
      <xdr:spPr>
        <a:xfrm>
          <a:off x="1" y="1428751"/>
          <a:ext cx="1943100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Customer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15</xdr:col>
      <xdr:colOff>63071</xdr:colOff>
      <xdr:row>2</xdr:row>
      <xdr:rowOff>47626</xdr:rowOff>
    </xdr:from>
    <xdr:to>
      <xdr:col>19</xdr:col>
      <xdr:colOff>9524</xdr:colOff>
      <xdr:row>6</xdr:row>
      <xdr:rowOff>76200</xdr:rowOff>
    </xdr:to>
    <xdr:sp macro="" textlink="">
      <xdr:nvSpPr>
        <xdr:cNvPr id="12" name="Rectangle 11">
          <a:hlinkClick xmlns:r="http://schemas.openxmlformats.org/officeDocument/2006/relationships" r:id="rId2"/>
        </xdr:cNvPr>
        <xdr:cNvSpPr/>
      </xdr:nvSpPr>
      <xdr:spPr>
        <a:xfrm>
          <a:off x="9207071" y="1419226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Invoice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11</xdr:col>
      <xdr:colOff>91646</xdr:colOff>
      <xdr:row>2</xdr:row>
      <xdr:rowOff>47626</xdr:rowOff>
    </xdr:from>
    <xdr:to>
      <xdr:col>15</xdr:col>
      <xdr:colOff>38099</xdr:colOff>
      <xdr:row>6</xdr:row>
      <xdr:rowOff>76200</xdr:rowOff>
    </xdr:to>
    <xdr:sp macro="" textlink="">
      <xdr:nvSpPr>
        <xdr:cNvPr id="13" name="Rectangle 12">
          <a:hlinkClick xmlns:r="http://schemas.openxmlformats.org/officeDocument/2006/relationships" r:id="rId3"/>
        </xdr:cNvPr>
        <xdr:cNvSpPr/>
      </xdr:nvSpPr>
      <xdr:spPr>
        <a:xfrm>
          <a:off x="6797246" y="1419226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Monthly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Calculations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3</xdr:col>
      <xdr:colOff>139271</xdr:colOff>
      <xdr:row>2</xdr:row>
      <xdr:rowOff>57151</xdr:rowOff>
    </xdr:from>
    <xdr:to>
      <xdr:col>7</xdr:col>
      <xdr:colOff>85724</xdr:colOff>
      <xdr:row>6</xdr:row>
      <xdr:rowOff>85725</xdr:rowOff>
    </xdr:to>
    <xdr:sp macro="" textlink="">
      <xdr:nvSpPr>
        <xdr:cNvPr id="14" name="Rectangle 13">
          <a:hlinkClick xmlns:r="http://schemas.openxmlformats.org/officeDocument/2006/relationships" r:id="rId4"/>
        </xdr:cNvPr>
        <xdr:cNvSpPr/>
      </xdr:nvSpPr>
      <xdr:spPr>
        <a:xfrm>
          <a:off x="1968071" y="1428751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Room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7</xdr:col>
      <xdr:colOff>123183</xdr:colOff>
      <xdr:row>2</xdr:row>
      <xdr:rowOff>47626</xdr:rowOff>
    </xdr:from>
    <xdr:to>
      <xdr:col>11</xdr:col>
      <xdr:colOff>57150</xdr:colOff>
      <xdr:row>6</xdr:row>
      <xdr:rowOff>76200</xdr:rowOff>
    </xdr:to>
    <xdr:sp macro="" textlink="">
      <xdr:nvSpPr>
        <xdr:cNvPr id="16" name="Rectangle 15">
          <a:hlinkClick xmlns:r="http://schemas.openxmlformats.org/officeDocument/2006/relationships" r:id="rId5"/>
        </xdr:cNvPr>
        <xdr:cNvSpPr/>
      </xdr:nvSpPr>
      <xdr:spPr>
        <a:xfrm>
          <a:off x="4390383" y="1419226"/>
          <a:ext cx="2372367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Bookings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0</xdr:row>
      <xdr:rowOff>238125</xdr:rowOff>
    </xdr:from>
    <xdr:to>
      <xdr:col>11</xdr:col>
      <xdr:colOff>123825</xdr:colOff>
      <xdr:row>0</xdr:row>
      <xdr:rowOff>971550</xdr:rowOff>
    </xdr:to>
    <xdr:sp macro="" textlink="">
      <xdr:nvSpPr>
        <xdr:cNvPr id="2" name="TextBox 1"/>
        <xdr:cNvSpPr txBox="1"/>
      </xdr:nvSpPr>
      <xdr:spPr>
        <a:xfrm>
          <a:off x="342900" y="238125"/>
          <a:ext cx="11277600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Customer Information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  <xdr:twoCellAnchor>
    <xdr:from>
      <xdr:col>0</xdr:col>
      <xdr:colOff>0</xdr:colOff>
      <xdr:row>13</xdr:row>
      <xdr:rowOff>9525</xdr:rowOff>
    </xdr:from>
    <xdr:to>
      <xdr:col>2</xdr:col>
      <xdr:colOff>209550</xdr:colOff>
      <xdr:row>17</xdr:row>
      <xdr:rowOff>38099</xdr:rowOff>
    </xdr:to>
    <xdr:sp macro="" textlink="">
      <xdr:nvSpPr>
        <xdr:cNvPr id="3" name="Rectangle 2">
          <a:hlinkClick xmlns:r="http://schemas.openxmlformats.org/officeDocument/2006/relationships" r:id="rId1"/>
        </xdr:cNvPr>
        <xdr:cNvSpPr/>
      </xdr:nvSpPr>
      <xdr:spPr>
        <a:xfrm>
          <a:off x="0" y="3543300"/>
          <a:ext cx="1943100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Customer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8</xdr:col>
      <xdr:colOff>844120</xdr:colOff>
      <xdr:row>13</xdr:row>
      <xdr:rowOff>0</xdr:rowOff>
    </xdr:from>
    <xdr:to>
      <xdr:col>21</xdr:col>
      <xdr:colOff>85723</xdr:colOff>
      <xdr:row>17</xdr:row>
      <xdr:rowOff>28574</xdr:rowOff>
    </xdr:to>
    <xdr:sp macro="" textlink="">
      <xdr:nvSpPr>
        <xdr:cNvPr id="4" name="Rectangle 3">
          <a:hlinkClick xmlns:r="http://schemas.openxmlformats.org/officeDocument/2006/relationships" r:id="rId2"/>
        </xdr:cNvPr>
        <xdr:cNvSpPr/>
      </xdr:nvSpPr>
      <xdr:spPr>
        <a:xfrm>
          <a:off x="9207070" y="3533775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Invoice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6</xdr:col>
      <xdr:colOff>691720</xdr:colOff>
      <xdr:row>13</xdr:row>
      <xdr:rowOff>0</xdr:rowOff>
    </xdr:from>
    <xdr:to>
      <xdr:col>8</xdr:col>
      <xdr:colOff>819148</xdr:colOff>
      <xdr:row>17</xdr:row>
      <xdr:rowOff>28574</xdr:rowOff>
    </xdr:to>
    <xdr:sp macro="" textlink="">
      <xdr:nvSpPr>
        <xdr:cNvPr id="5" name="Rectangle 4">
          <a:hlinkClick xmlns:r="http://schemas.openxmlformats.org/officeDocument/2006/relationships" r:id="rId3"/>
        </xdr:cNvPr>
        <xdr:cNvSpPr/>
      </xdr:nvSpPr>
      <xdr:spPr>
        <a:xfrm>
          <a:off x="6797245" y="3533775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Monthly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Calculations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2</xdr:col>
      <xdr:colOff>234520</xdr:colOff>
      <xdr:row>13</xdr:row>
      <xdr:rowOff>9525</xdr:rowOff>
    </xdr:from>
    <xdr:to>
      <xdr:col>4</xdr:col>
      <xdr:colOff>904873</xdr:colOff>
      <xdr:row>17</xdr:row>
      <xdr:rowOff>38099</xdr:rowOff>
    </xdr:to>
    <xdr:sp macro="" textlink="">
      <xdr:nvSpPr>
        <xdr:cNvPr id="6" name="Rectangle 5">
          <a:hlinkClick xmlns:r="http://schemas.openxmlformats.org/officeDocument/2006/relationships" r:id="rId4"/>
        </xdr:cNvPr>
        <xdr:cNvSpPr/>
      </xdr:nvSpPr>
      <xdr:spPr>
        <a:xfrm>
          <a:off x="1968070" y="3543300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Room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4</xdr:col>
      <xdr:colOff>942332</xdr:colOff>
      <xdr:row>13</xdr:row>
      <xdr:rowOff>0</xdr:rowOff>
    </xdr:from>
    <xdr:to>
      <xdr:col>6</xdr:col>
      <xdr:colOff>657224</xdr:colOff>
      <xdr:row>17</xdr:row>
      <xdr:rowOff>28574</xdr:rowOff>
    </xdr:to>
    <xdr:sp macro="" textlink="">
      <xdr:nvSpPr>
        <xdr:cNvPr id="7" name="Rectangle 6">
          <a:hlinkClick xmlns:r="http://schemas.openxmlformats.org/officeDocument/2006/relationships" r:id="rId5"/>
        </xdr:cNvPr>
        <xdr:cNvSpPr/>
      </xdr:nvSpPr>
      <xdr:spPr>
        <a:xfrm>
          <a:off x="4390382" y="3533775"/>
          <a:ext cx="2372367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Bookings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266700</xdr:rowOff>
    </xdr:from>
    <xdr:to>
      <xdr:col>18</xdr:col>
      <xdr:colOff>161925</xdr:colOff>
      <xdr:row>0</xdr:row>
      <xdr:rowOff>1000125</xdr:rowOff>
    </xdr:to>
    <xdr:sp macro="" textlink="">
      <xdr:nvSpPr>
        <xdr:cNvPr id="3" name="TextBox 2"/>
        <xdr:cNvSpPr txBox="1"/>
      </xdr:nvSpPr>
      <xdr:spPr>
        <a:xfrm>
          <a:off x="66675" y="266700"/>
          <a:ext cx="12277725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Booking Information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  <xdr:twoCellAnchor>
    <xdr:from>
      <xdr:col>0</xdr:col>
      <xdr:colOff>0</xdr:colOff>
      <xdr:row>13</xdr:row>
      <xdr:rowOff>9525</xdr:rowOff>
    </xdr:from>
    <xdr:to>
      <xdr:col>2</xdr:col>
      <xdr:colOff>352425</xdr:colOff>
      <xdr:row>17</xdr:row>
      <xdr:rowOff>38099</xdr:rowOff>
    </xdr:to>
    <xdr:sp macro="" textlink="">
      <xdr:nvSpPr>
        <xdr:cNvPr id="4" name="Rectangle 3">
          <a:hlinkClick xmlns:r="http://schemas.openxmlformats.org/officeDocument/2006/relationships" r:id="rId1"/>
        </xdr:cNvPr>
        <xdr:cNvSpPr/>
      </xdr:nvSpPr>
      <xdr:spPr>
        <a:xfrm>
          <a:off x="0" y="3543300"/>
          <a:ext cx="1943100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Customer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9</xdr:col>
      <xdr:colOff>453595</xdr:colOff>
      <xdr:row>13</xdr:row>
      <xdr:rowOff>0</xdr:rowOff>
    </xdr:from>
    <xdr:to>
      <xdr:col>11</xdr:col>
      <xdr:colOff>819148</xdr:colOff>
      <xdr:row>17</xdr:row>
      <xdr:rowOff>28574</xdr:rowOff>
    </xdr:to>
    <xdr:sp macro="" textlink="">
      <xdr:nvSpPr>
        <xdr:cNvPr id="5" name="Rectangle 4">
          <a:hlinkClick xmlns:r="http://schemas.openxmlformats.org/officeDocument/2006/relationships" r:id="rId2"/>
        </xdr:cNvPr>
        <xdr:cNvSpPr/>
      </xdr:nvSpPr>
      <xdr:spPr>
        <a:xfrm>
          <a:off x="9207070" y="3533775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Invoice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7</xdr:col>
      <xdr:colOff>177370</xdr:colOff>
      <xdr:row>13</xdr:row>
      <xdr:rowOff>0</xdr:rowOff>
    </xdr:from>
    <xdr:to>
      <xdr:col>9</xdr:col>
      <xdr:colOff>428623</xdr:colOff>
      <xdr:row>17</xdr:row>
      <xdr:rowOff>28574</xdr:rowOff>
    </xdr:to>
    <xdr:sp macro="" textlink="">
      <xdr:nvSpPr>
        <xdr:cNvPr id="6" name="Rectangle 5">
          <a:hlinkClick xmlns:r="http://schemas.openxmlformats.org/officeDocument/2006/relationships" r:id="rId3"/>
        </xdr:cNvPr>
        <xdr:cNvSpPr/>
      </xdr:nvSpPr>
      <xdr:spPr>
        <a:xfrm>
          <a:off x="6797245" y="3533775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Monthly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Calculations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2</xdr:col>
      <xdr:colOff>377395</xdr:colOff>
      <xdr:row>13</xdr:row>
      <xdr:rowOff>9525</xdr:rowOff>
    </xdr:from>
    <xdr:to>
      <xdr:col>5</xdr:col>
      <xdr:colOff>209548</xdr:colOff>
      <xdr:row>17</xdr:row>
      <xdr:rowOff>38099</xdr:rowOff>
    </xdr:to>
    <xdr:sp macro="" textlink="">
      <xdr:nvSpPr>
        <xdr:cNvPr id="7" name="Rectangle 6">
          <a:hlinkClick xmlns:r="http://schemas.openxmlformats.org/officeDocument/2006/relationships" r:id="rId4"/>
        </xdr:cNvPr>
        <xdr:cNvSpPr/>
      </xdr:nvSpPr>
      <xdr:spPr>
        <a:xfrm>
          <a:off x="1968070" y="3543300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Room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5</xdr:col>
      <xdr:colOff>247007</xdr:colOff>
      <xdr:row>13</xdr:row>
      <xdr:rowOff>0</xdr:rowOff>
    </xdr:from>
    <xdr:to>
      <xdr:col>7</xdr:col>
      <xdr:colOff>142874</xdr:colOff>
      <xdr:row>17</xdr:row>
      <xdr:rowOff>28574</xdr:rowOff>
    </xdr:to>
    <xdr:sp macro="" textlink="">
      <xdr:nvSpPr>
        <xdr:cNvPr id="8" name="Rectangle 7">
          <a:hlinkClick xmlns:r="http://schemas.openxmlformats.org/officeDocument/2006/relationships" r:id="rId5"/>
        </xdr:cNvPr>
        <xdr:cNvSpPr/>
      </xdr:nvSpPr>
      <xdr:spPr>
        <a:xfrm>
          <a:off x="4390382" y="3533775"/>
          <a:ext cx="2372367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Bookings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561975</xdr:colOff>
      <xdr:row>0</xdr:row>
      <xdr:rowOff>276225</xdr:rowOff>
    </xdr:from>
    <xdr:to>
      <xdr:col>18</xdr:col>
      <xdr:colOff>561975</xdr:colOff>
      <xdr:row>0</xdr:row>
      <xdr:rowOff>1009650</xdr:rowOff>
    </xdr:to>
    <xdr:sp macro="" textlink="">
      <xdr:nvSpPr>
        <xdr:cNvPr id="3" name="TextBox 2"/>
        <xdr:cNvSpPr txBox="1"/>
      </xdr:nvSpPr>
      <xdr:spPr>
        <a:xfrm>
          <a:off x="561975" y="276225"/>
          <a:ext cx="10972800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Room Information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2</xdr:col>
      <xdr:colOff>523875</xdr:colOff>
      <xdr:row>17</xdr:row>
      <xdr:rowOff>28574</xdr:rowOff>
    </xdr:to>
    <xdr:sp macro="" textlink="">
      <xdr:nvSpPr>
        <xdr:cNvPr id="4" name="Rectangle 3">
          <a:hlinkClick xmlns:r="http://schemas.openxmlformats.org/officeDocument/2006/relationships" r:id="rId1"/>
        </xdr:cNvPr>
        <xdr:cNvSpPr/>
      </xdr:nvSpPr>
      <xdr:spPr>
        <a:xfrm>
          <a:off x="0" y="3533775"/>
          <a:ext cx="1943100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Customer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13</xdr:col>
      <xdr:colOff>329770</xdr:colOff>
      <xdr:row>12</xdr:row>
      <xdr:rowOff>180975</xdr:rowOff>
    </xdr:from>
    <xdr:to>
      <xdr:col>17</xdr:col>
      <xdr:colOff>276223</xdr:colOff>
      <xdr:row>17</xdr:row>
      <xdr:rowOff>19049</xdr:rowOff>
    </xdr:to>
    <xdr:sp macro="" textlink="">
      <xdr:nvSpPr>
        <xdr:cNvPr id="5" name="Rectangle 4">
          <a:hlinkClick xmlns:r="http://schemas.openxmlformats.org/officeDocument/2006/relationships" r:id="rId2"/>
        </xdr:cNvPr>
        <xdr:cNvSpPr/>
      </xdr:nvSpPr>
      <xdr:spPr>
        <a:xfrm>
          <a:off x="9207070" y="3524250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Invoice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9</xdr:col>
      <xdr:colOff>358345</xdr:colOff>
      <xdr:row>12</xdr:row>
      <xdr:rowOff>180975</xdr:rowOff>
    </xdr:from>
    <xdr:to>
      <xdr:col>13</xdr:col>
      <xdr:colOff>304798</xdr:colOff>
      <xdr:row>17</xdr:row>
      <xdr:rowOff>19049</xdr:rowOff>
    </xdr:to>
    <xdr:sp macro="" textlink="">
      <xdr:nvSpPr>
        <xdr:cNvPr id="6" name="Rectangle 5">
          <a:hlinkClick xmlns:r="http://schemas.openxmlformats.org/officeDocument/2006/relationships" r:id="rId3"/>
        </xdr:cNvPr>
        <xdr:cNvSpPr/>
      </xdr:nvSpPr>
      <xdr:spPr>
        <a:xfrm>
          <a:off x="6797245" y="3524250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Monthly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Calculations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2</xdr:col>
      <xdr:colOff>548845</xdr:colOff>
      <xdr:row>13</xdr:row>
      <xdr:rowOff>0</xdr:rowOff>
    </xdr:from>
    <xdr:to>
      <xdr:col>5</xdr:col>
      <xdr:colOff>352423</xdr:colOff>
      <xdr:row>17</xdr:row>
      <xdr:rowOff>28574</xdr:rowOff>
    </xdr:to>
    <xdr:sp macro="" textlink="">
      <xdr:nvSpPr>
        <xdr:cNvPr id="7" name="Rectangle 6">
          <a:hlinkClick xmlns:r="http://schemas.openxmlformats.org/officeDocument/2006/relationships" r:id="rId4"/>
        </xdr:cNvPr>
        <xdr:cNvSpPr/>
      </xdr:nvSpPr>
      <xdr:spPr>
        <a:xfrm>
          <a:off x="1968070" y="3533775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Room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5</xdr:col>
      <xdr:colOff>389882</xdr:colOff>
      <xdr:row>12</xdr:row>
      <xdr:rowOff>180975</xdr:rowOff>
    </xdr:from>
    <xdr:to>
      <xdr:col>9</xdr:col>
      <xdr:colOff>323849</xdr:colOff>
      <xdr:row>17</xdr:row>
      <xdr:rowOff>19049</xdr:rowOff>
    </xdr:to>
    <xdr:sp macro="" textlink="">
      <xdr:nvSpPr>
        <xdr:cNvPr id="8" name="Rectangle 7">
          <a:hlinkClick xmlns:r="http://schemas.openxmlformats.org/officeDocument/2006/relationships" r:id="rId5"/>
        </xdr:cNvPr>
        <xdr:cNvSpPr/>
      </xdr:nvSpPr>
      <xdr:spPr>
        <a:xfrm>
          <a:off x="4390382" y="3524250"/>
          <a:ext cx="2372367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Bookings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628650</xdr:colOff>
      <xdr:row>0</xdr:row>
      <xdr:rowOff>238125</xdr:rowOff>
    </xdr:from>
    <xdr:to>
      <xdr:col>17</xdr:col>
      <xdr:colOff>85725</xdr:colOff>
      <xdr:row>0</xdr:row>
      <xdr:rowOff>971550</xdr:rowOff>
    </xdr:to>
    <xdr:sp macro="" textlink="">
      <xdr:nvSpPr>
        <xdr:cNvPr id="3" name="TextBox 2"/>
        <xdr:cNvSpPr txBox="1"/>
      </xdr:nvSpPr>
      <xdr:spPr>
        <a:xfrm>
          <a:off x="628650" y="238125"/>
          <a:ext cx="11010900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Expenditure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1</xdr:col>
      <xdr:colOff>438150</xdr:colOff>
      <xdr:row>16</xdr:row>
      <xdr:rowOff>28574</xdr:rowOff>
    </xdr:to>
    <xdr:sp macro="" textlink="">
      <xdr:nvSpPr>
        <xdr:cNvPr id="4" name="Rectangle 3">
          <a:hlinkClick xmlns:r="http://schemas.openxmlformats.org/officeDocument/2006/relationships" r:id="rId1"/>
        </xdr:cNvPr>
        <xdr:cNvSpPr/>
      </xdr:nvSpPr>
      <xdr:spPr>
        <a:xfrm>
          <a:off x="0" y="3276600"/>
          <a:ext cx="1943100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Customer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11</xdr:col>
      <xdr:colOff>91645</xdr:colOff>
      <xdr:row>11</xdr:row>
      <xdr:rowOff>180975</xdr:rowOff>
    </xdr:from>
    <xdr:to>
      <xdr:col>15</xdr:col>
      <xdr:colOff>38098</xdr:colOff>
      <xdr:row>16</xdr:row>
      <xdr:rowOff>19049</xdr:rowOff>
    </xdr:to>
    <xdr:sp macro="" textlink="">
      <xdr:nvSpPr>
        <xdr:cNvPr id="5" name="Rectangle 4">
          <a:hlinkClick xmlns:r="http://schemas.openxmlformats.org/officeDocument/2006/relationships" r:id="rId2"/>
        </xdr:cNvPr>
        <xdr:cNvSpPr/>
      </xdr:nvSpPr>
      <xdr:spPr>
        <a:xfrm>
          <a:off x="9207070" y="3267075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Invoice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7</xdr:col>
      <xdr:colOff>1158445</xdr:colOff>
      <xdr:row>11</xdr:row>
      <xdr:rowOff>180975</xdr:rowOff>
    </xdr:from>
    <xdr:to>
      <xdr:col>11</xdr:col>
      <xdr:colOff>66673</xdr:colOff>
      <xdr:row>16</xdr:row>
      <xdr:rowOff>19049</xdr:rowOff>
    </xdr:to>
    <xdr:sp macro="" textlink="">
      <xdr:nvSpPr>
        <xdr:cNvPr id="6" name="Rectangle 5">
          <a:hlinkClick xmlns:r="http://schemas.openxmlformats.org/officeDocument/2006/relationships" r:id="rId3"/>
        </xdr:cNvPr>
        <xdr:cNvSpPr/>
      </xdr:nvSpPr>
      <xdr:spPr>
        <a:xfrm>
          <a:off x="6797245" y="3267075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Monthly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Calculations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</xdr:col>
      <xdr:colOff>463120</xdr:colOff>
      <xdr:row>12</xdr:row>
      <xdr:rowOff>0</xdr:rowOff>
    </xdr:from>
    <xdr:to>
      <xdr:col>5</xdr:col>
      <xdr:colOff>333373</xdr:colOff>
      <xdr:row>16</xdr:row>
      <xdr:rowOff>28574</xdr:rowOff>
    </xdr:to>
    <xdr:sp macro="" textlink="">
      <xdr:nvSpPr>
        <xdr:cNvPr id="7" name="Rectangle 6">
          <a:hlinkClick xmlns:r="http://schemas.openxmlformats.org/officeDocument/2006/relationships" r:id="rId4"/>
        </xdr:cNvPr>
        <xdr:cNvSpPr/>
      </xdr:nvSpPr>
      <xdr:spPr>
        <a:xfrm>
          <a:off x="1968070" y="3276600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Room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5</xdr:col>
      <xdr:colOff>370832</xdr:colOff>
      <xdr:row>11</xdr:row>
      <xdr:rowOff>180975</xdr:rowOff>
    </xdr:from>
    <xdr:to>
      <xdr:col>7</xdr:col>
      <xdr:colOff>1123949</xdr:colOff>
      <xdr:row>16</xdr:row>
      <xdr:rowOff>19049</xdr:rowOff>
    </xdr:to>
    <xdr:sp macro="" textlink="">
      <xdr:nvSpPr>
        <xdr:cNvPr id="8" name="Rectangle 7">
          <a:hlinkClick xmlns:r="http://schemas.openxmlformats.org/officeDocument/2006/relationships" r:id="rId5"/>
        </xdr:cNvPr>
        <xdr:cNvSpPr/>
      </xdr:nvSpPr>
      <xdr:spPr>
        <a:xfrm>
          <a:off x="4390382" y="3267075"/>
          <a:ext cx="2372367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Bookings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180975</xdr:rowOff>
    </xdr:from>
    <xdr:to>
      <xdr:col>2</xdr:col>
      <xdr:colOff>114300</xdr:colOff>
      <xdr:row>14</xdr:row>
      <xdr:rowOff>19049</xdr:rowOff>
    </xdr:to>
    <xdr:sp macro="" textlink="">
      <xdr:nvSpPr>
        <xdr:cNvPr id="2" name="Rectangle 1">
          <a:hlinkClick xmlns:r="http://schemas.openxmlformats.org/officeDocument/2006/relationships" r:id="rId1"/>
        </xdr:cNvPr>
        <xdr:cNvSpPr/>
      </xdr:nvSpPr>
      <xdr:spPr>
        <a:xfrm>
          <a:off x="0" y="1895475"/>
          <a:ext cx="1943100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Customer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8</xdr:col>
      <xdr:colOff>682195</xdr:colOff>
      <xdr:row>9</xdr:row>
      <xdr:rowOff>171450</xdr:rowOff>
    </xdr:from>
    <xdr:to>
      <xdr:col>11</xdr:col>
      <xdr:colOff>485773</xdr:colOff>
      <xdr:row>14</xdr:row>
      <xdr:rowOff>9524</xdr:rowOff>
    </xdr:to>
    <xdr:sp macro="" textlink="">
      <xdr:nvSpPr>
        <xdr:cNvPr id="3" name="Rectangle 2">
          <a:hlinkClick xmlns:r="http://schemas.openxmlformats.org/officeDocument/2006/relationships" r:id="rId2"/>
        </xdr:cNvPr>
        <xdr:cNvSpPr/>
      </xdr:nvSpPr>
      <xdr:spPr>
        <a:xfrm>
          <a:off x="9207070" y="1885950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Invoice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6</xdr:col>
      <xdr:colOff>453595</xdr:colOff>
      <xdr:row>9</xdr:row>
      <xdr:rowOff>171450</xdr:rowOff>
    </xdr:from>
    <xdr:to>
      <xdr:col>8</xdr:col>
      <xdr:colOff>657223</xdr:colOff>
      <xdr:row>14</xdr:row>
      <xdr:rowOff>9524</xdr:rowOff>
    </xdr:to>
    <xdr:sp macro="" textlink="">
      <xdr:nvSpPr>
        <xdr:cNvPr id="4" name="Rectangle 3">
          <a:hlinkClick xmlns:r="http://schemas.openxmlformats.org/officeDocument/2006/relationships" r:id="rId3"/>
        </xdr:cNvPr>
        <xdr:cNvSpPr/>
      </xdr:nvSpPr>
      <xdr:spPr>
        <a:xfrm>
          <a:off x="6797245" y="1885950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Monthly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Calculations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2</xdr:col>
      <xdr:colOff>139270</xdr:colOff>
      <xdr:row>9</xdr:row>
      <xdr:rowOff>180975</xdr:rowOff>
    </xdr:from>
    <xdr:to>
      <xdr:col>4</xdr:col>
      <xdr:colOff>19048</xdr:colOff>
      <xdr:row>14</xdr:row>
      <xdr:rowOff>19049</xdr:rowOff>
    </xdr:to>
    <xdr:sp macro="" textlink="">
      <xdr:nvSpPr>
        <xdr:cNvPr id="5" name="Rectangle 4">
          <a:hlinkClick xmlns:r="http://schemas.openxmlformats.org/officeDocument/2006/relationships" r:id="rId4"/>
        </xdr:cNvPr>
        <xdr:cNvSpPr/>
      </xdr:nvSpPr>
      <xdr:spPr>
        <a:xfrm>
          <a:off x="1968070" y="1895475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Room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4</xdr:col>
      <xdr:colOff>56507</xdr:colOff>
      <xdr:row>9</xdr:row>
      <xdr:rowOff>171450</xdr:rowOff>
    </xdr:from>
    <xdr:to>
      <xdr:col>6</xdr:col>
      <xdr:colOff>419099</xdr:colOff>
      <xdr:row>14</xdr:row>
      <xdr:rowOff>9524</xdr:rowOff>
    </xdr:to>
    <xdr:sp macro="" textlink="">
      <xdr:nvSpPr>
        <xdr:cNvPr id="6" name="Rectangle 5">
          <a:hlinkClick xmlns:r="http://schemas.openxmlformats.org/officeDocument/2006/relationships" r:id="rId5"/>
        </xdr:cNvPr>
        <xdr:cNvSpPr/>
      </xdr:nvSpPr>
      <xdr:spPr>
        <a:xfrm>
          <a:off x="4390382" y="1885950"/>
          <a:ext cx="2372367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Bookings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rtlCol="0" anchor="ctr"/>
      <a:lstStyle>
        <a:defPPr algn="ctr">
          <a:defRPr sz="4400">
            <a:solidFill>
              <a:schemeClr val="bg2"/>
            </a:solidFill>
            <a:latin typeface="Accord SF" pitchFamily="2" charset="0"/>
            <a:cs typeface="Aharoni" pitchFamily="2" charset="-79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iraq@gov.com" TargetMode="External"/><Relationship Id="rId3" Type="http://schemas.openxmlformats.org/officeDocument/2006/relationships/hyperlink" Target="mailto:foodie@gmail.com" TargetMode="External"/><Relationship Id="rId7" Type="http://schemas.openxmlformats.org/officeDocument/2006/relationships/hyperlink" Target="mailto:iraq@gov.com" TargetMode="External"/><Relationship Id="rId2" Type="http://schemas.openxmlformats.org/officeDocument/2006/relationships/hyperlink" Target="mailto:foodie@gmail.com" TargetMode="External"/><Relationship Id="rId1" Type="http://schemas.openxmlformats.org/officeDocument/2006/relationships/hyperlink" Target="mailto:iraq@gov.com" TargetMode="External"/><Relationship Id="rId6" Type="http://schemas.openxmlformats.org/officeDocument/2006/relationships/hyperlink" Target="mailto:iraq@gov.com" TargetMode="External"/><Relationship Id="rId5" Type="http://schemas.openxmlformats.org/officeDocument/2006/relationships/hyperlink" Target="mailto:foodie@gmail.com" TargetMode="External"/><Relationship Id="rId10" Type="http://schemas.openxmlformats.org/officeDocument/2006/relationships/drawing" Target="../drawings/drawing2.xml"/><Relationship Id="rId4" Type="http://schemas.openxmlformats.org/officeDocument/2006/relationships/hyperlink" Target="mailto:foodie@gmail.com" TargetMode="External"/><Relationship Id="rId9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 tint="0.34998626667073579"/>
  </sheetPr>
  <dimension ref="A1:T2"/>
  <sheetViews>
    <sheetView windowProtection="1" workbookViewId="0">
      <selection activeCell="I11" sqref="I11"/>
    </sheetView>
  </sheetViews>
  <sheetFormatPr defaultRowHeight="15" x14ac:dyDescent="0.25"/>
  <sheetData>
    <row r="1" spans="1:20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3"/>
    </row>
    <row r="2" spans="1:2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59999389629810485"/>
  </sheetPr>
  <dimension ref="A1:W11"/>
  <sheetViews>
    <sheetView windowProtection="1" showGridLines="0" workbookViewId="0">
      <selection activeCell="F24" sqref="F24"/>
    </sheetView>
  </sheetViews>
  <sheetFormatPr defaultRowHeight="15" x14ac:dyDescent="0.25"/>
  <cols>
    <col min="1" max="1" width="11.85546875" bestFit="1" customWidth="1"/>
    <col min="2" max="2" width="14.140625" customWidth="1"/>
    <col min="3" max="3" width="11.28515625" customWidth="1"/>
    <col min="4" max="4" width="14.42578125" customWidth="1"/>
    <col min="5" max="5" width="23.28515625" customWidth="1"/>
    <col min="6" max="6" width="16.5703125" customWidth="1"/>
    <col min="7" max="7" width="18.85546875" customWidth="1"/>
    <col min="8" max="8" width="15" customWidth="1"/>
    <col min="9" max="9" width="16.7109375" customWidth="1"/>
    <col min="10" max="10" width="14.85546875" customWidth="1"/>
    <col min="11" max="11" width="15.42578125" customWidth="1"/>
    <col min="12" max="12" width="0.140625" customWidth="1"/>
    <col min="13" max="21" width="9.140625" hidden="1" customWidth="1"/>
    <col min="22" max="22" width="14.140625" customWidth="1"/>
  </cols>
  <sheetData>
    <row r="1" spans="1:23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3"/>
    </row>
    <row r="2" spans="1:23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3"/>
    </row>
    <row r="3" spans="1:23" ht="20.25" customHeight="1" x14ac:dyDescent="0.25">
      <c r="A3" s="25" t="s">
        <v>0</v>
      </c>
      <c r="B3" s="25" t="s">
        <v>1</v>
      </c>
      <c r="C3" s="25" t="s">
        <v>2</v>
      </c>
      <c r="D3" s="25" t="s">
        <v>3</v>
      </c>
      <c r="E3" s="25" t="s">
        <v>41</v>
      </c>
      <c r="F3" s="25" t="s">
        <v>42</v>
      </c>
      <c r="G3" s="25" t="s">
        <v>4</v>
      </c>
      <c r="H3" s="25" t="s">
        <v>5</v>
      </c>
      <c r="I3" s="25" t="s">
        <v>6</v>
      </c>
      <c r="J3" s="25" t="s">
        <v>7</v>
      </c>
      <c r="K3" s="25" t="s">
        <v>8</v>
      </c>
      <c r="L3" s="26"/>
      <c r="M3" s="26"/>
      <c r="N3" s="26"/>
      <c r="O3" s="26"/>
      <c r="P3" s="26"/>
      <c r="Q3" s="26"/>
      <c r="R3" s="26"/>
      <c r="S3" s="26"/>
      <c r="T3" s="26"/>
      <c r="U3" s="26"/>
      <c r="V3" s="27" t="s">
        <v>78</v>
      </c>
    </row>
    <row r="4" spans="1:23" x14ac:dyDescent="0.25">
      <c r="A4" s="4" t="s">
        <v>9</v>
      </c>
      <c r="B4" s="4" t="s">
        <v>17</v>
      </c>
      <c r="C4" s="34" t="s">
        <v>18</v>
      </c>
      <c r="D4" s="34" t="s">
        <v>53</v>
      </c>
      <c r="E4" s="35" t="s">
        <v>43</v>
      </c>
      <c r="F4" s="34" t="s">
        <v>44</v>
      </c>
      <c r="G4" s="34" t="s">
        <v>19</v>
      </c>
      <c r="H4" s="34" t="s">
        <v>20</v>
      </c>
      <c r="I4" s="34" t="s">
        <v>21</v>
      </c>
      <c r="J4" s="34" t="s">
        <v>22</v>
      </c>
      <c r="K4" s="34" t="s">
        <v>23</v>
      </c>
      <c r="V4" s="7"/>
    </row>
    <row r="5" spans="1:23" x14ac:dyDescent="0.25">
      <c r="A5" s="4" t="s">
        <v>10</v>
      </c>
      <c r="B5" s="4" t="s">
        <v>24</v>
      </c>
      <c r="C5" s="34" t="s">
        <v>26</v>
      </c>
      <c r="D5" s="34" t="s">
        <v>25</v>
      </c>
      <c r="E5" s="35" t="s">
        <v>55</v>
      </c>
      <c r="F5" s="34" t="s">
        <v>45</v>
      </c>
      <c r="G5" s="34" t="s">
        <v>27</v>
      </c>
      <c r="H5" s="34" t="s">
        <v>28</v>
      </c>
      <c r="I5" s="34" t="s">
        <v>29</v>
      </c>
      <c r="J5" s="34" t="s">
        <v>22</v>
      </c>
      <c r="K5" s="34" t="s">
        <v>23</v>
      </c>
      <c r="V5" s="7"/>
    </row>
    <row r="6" spans="1:23" x14ac:dyDescent="0.25">
      <c r="A6" s="4" t="s">
        <v>11</v>
      </c>
      <c r="B6" s="4" t="s">
        <v>30</v>
      </c>
      <c r="C6" s="34" t="s">
        <v>31</v>
      </c>
      <c r="D6" s="34" t="s">
        <v>32</v>
      </c>
      <c r="E6" s="35" t="s">
        <v>43</v>
      </c>
      <c r="F6" s="34" t="s">
        <v>46</v>
      </c>
      <c r="G6" s="34" t="s">
        <v>33</v>
      </c>
      <c r="H6" s="34" t="s">
        <v>34</v>
      </c>
      <c r="I6" s="34" t="s">
        <v>35</v>
      </c>
      <c r="J6" s="34" t="s">
        <v>22</v>
      </c>
      <c r="K6" s="34" t="s">
        <v>23</v>
      </c>
      <c r="V6" s="7"/>
    </row>
    <row r="7" spans="1:23" x14ac:dyDescent="0.25">
      <c r="A7" s="4" t="s">
        <v>12</v>
      </c>
      <c r="B7" s="4" t="s">
        <v>36</v>
      </c>
      <c r="C7" s="34" t="s">
        <v>37</v>
      </c>
      <c r="D7" s="34" t="s">
        <v>38</v>
      </c>
      <c r="E7" s="35" t="s">
        <v>55</v>
      </c>
      <c r="F7" s="34" t="s">
        <v>47</v>
      </c>
      <c r="G7" s="34" t="s">
        <v>39</v>
      </c>
      <c r="H7" s="34" t="s">
        <v>20</v>
      </c>
      <c r="I7" s="34" t="s">
        <v>40</v>
      </c>
      <c r="J7" s="34" t="s">
        <v>22</v>
      </c>
      <c r="K7" s="34" t="s">
        <v>23</v>
      </c>
      <c r="V7" s="7"/>
    </row>
    <row r="8" spans="1:23" x14ac:dyDescent="0.25">
      <c r="A8" s="4" t="s">
        <v>13</v>
      </c>
      <c r="B8" s="4" t="s">
        <v>30</v>
      </c>
      <c r="C8" s="34" t="s">
        <v>52</v>
      </c>
      <c r="D8" s="34" t="s">
        <v>53</v>
      </c>
      <c r="E8" s="35" t="s">
        <v>43</v>
      </c>
      <c r="F8" s="34" t="s">
        <v>48</v>
      </c>
      <c r="G8" s="34" t="s">
        <v>54</v>
      </c>
      <c r="H8" s="34" t="s">
        <v>57</v>
      </c>
      <c r="I8" s="34" t="s">
        <v>56</v>
      </c>
      <c r="J8" s="34" t="s">
        <v>22</v>
      </c>
      <c r="K8" s="34" t="s">
        <v>23</v>
      </c>
      <c r="V8" s="7"/>
    </row>
    <row r="9" spans="1:23" x14ac:dyDescent="0.25">
      <c r="A9" s="4" t="s">
        <v>14</v>
      </c>
      <c r="B9" s="4" t="s">
        <v>17</v>
      </c>
      <c r="C9" s="34" t="s">
        <v>18</v>
      </c>
      <c r="D9" s="34" t="s">
        <v>53</v>
      </c>
      <c r="E9" s="35" t="s">
        <v>55</v>
      </c>
      <c r="F9" s="34" t="s">
        <v>49</v>
      </c>
      <c r="G9" s="34" t="s">
        <v>19</v>
      </c>
      <c r="H9" s="34" t="s">
        <v>20</v>
      </c>
      <c r="I9" s="34" t="s">
        <v>40</v>
      </c>
      <c r="J9" s="34" t="s">
        <v>22</v>
      </c>
      <c r="K9" s="34" t="s">
        <v>23</v>
      </c>
      <c r="V9" s="7"/>
    </row>
    <row r="10" spans="1:23" x14ac:dyDescent="0.25">
      <c r="A10" s="4" t="s">
        <v>15</v>
      </c>
      <c r="B10" s="4" t="s">
        <v>30</v>
      </c>
      <c r="C10" s="34" t="s">
        <v>31</v>
      </c>
      <c r="D10" s="34" t="s">
        <v>32</v>
      </c>
      <c r="E10" s="35" t="s">
        <v>43</v>
      </c>
      <c r="F10" s="34" t="s">
        <v>50</v>
      </c>
      <c r="G10" s="34" t="s">
        <v>33</v>
      </c>
      <c r="H10" s="34" t="s">
        <v>20</v>
      </c>
      <c r="I10" s="34" t="s">
        <v>40</v>
      </c>
      <c r="J10" s="34" t="s">
        <v>22</v>
      </c>
      <c r="K10" s="34" t="s">
        <v>23</v>
      </c>
      <c r="V10" s="8"/>
    </row>
    <row r="11" spans="1:23" x14ac:dyDescent="0.25">
      <c r="A11" s="4" t="s">
        <v>16</v>
      </c>
      <c r="B11" s="4" t="s">
        <v>24</v>
      </c>
      <c r="C11" s="34" t="s">
        <v>26</v>
      </c>
      <c r="D11" s="34" t="s">
        <v>25</v>
      </c>
      <c r="E11" s="35" t="s">
        <v>55</v>
      </c>
      <c r="F11" s="34" t="s">
        <v>51</v>
      </c>
      <c r="G11" s="34" t="s">
        <v>54</v>
      </c>
      <c r="H11" s="34" t="s">
        <v>20</v>
      </c>
      <c r="I11" s="34" t="s">
        <v>40</v>
      </c>
      <c r="J11" s="34" t="s">
        <v>22</v>
      </c>
      <c r="K11" s="34" t="s">
        <v>23</v>
      </c>
      <c r="V11" s="8"/>
    </row>
  </sheetData>
  <sortState ref="A4:K11">
    <sortCondition ref="A4:A11"/>
  </sortState>
  <dataValidations count="3">
    <dataValidation type="list" allowBlank="1" showInputMessage="1" showErrorMessage="1" sqref="B4:B11">
      <formula1>"Please choose title,Mr,Mrs,Ms,Sir,Doctor,Lord"</formula1>
    </dataValidation>
    <dataValidation type="textLength" allowBlank="1" showInputMessage="1" showErrorMessage="1" errorTitle="Invalid Input" error="Postcodes cannot be longer than six characters." sqref="K4:K11">
      <formula1>1</formula1>
      <formula2>6</formula2>
    </dataValidation>
    <dataValidation type="list" allowBlank="1" showInputMessage="1" showErrorMessage="1" sqref="A4:A11">
      <formula1>$A$4:$A$11</formula1>
    </dataValidation>
  </dataValidations>
  <hyperlinks>
    <hyperlink ref="E4" r:id="rId1"/>
    <hyperlink ref="E5" r:id="rId2"/>
    <hyperlink ref="E7" r:id="rId3"/>
    <hyperlink ref="E9" r:id="rId4"/>
    <hyperlink ref="E11" r:id="rId5"/>
    <hyperlink ref="E6" r:id="rId6"/>
    <hyperlink ref="E8" r:id="rId7"/>
    <hyperlink ref="E10" r:id="rId8"/>
  </hyperlinks>
  <pageMargins left="0.7" right="0.7" top="0.75" bottom="0.75" header="0.3" footer="0.3"/>
  <pageSetup paperSize="9" orientation="portrait" r:id="rId9"/>
  <drawing r:id="rId1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AE31"/>
  <sheetViews>
    <sheetView windowProtection="1" showGridLines="0" topLeftCell="W1" zoomScaleNormal="100" workbookViewId="0">
      <selection activeCell="AD12" sqref="AD12"/>
    </sheetView>
  </sheetViews>
  <sheetFormatPr defaultRowHeight="15" x14ac:dyDescent="0.25"/>
  <cols>
    <col min="1" max="1" width="11.85546875" customWidth="1"/>
    <col min="2" max="2" width="12" customWidth="1"/>
    <col min="3" max="3" width="12.7109375" customWidth="1"/>
    <col min="4" max="4" width="11.5703125" customWidth="1"/>
    <col min="5" max="5" width="14" customWidth="1"/>
    <col min="6" max="6" width="20.5703125" customWidth="1"/>
    <col min="7" max="7" width="16.5703125" customWidth="1"/>
    <col min="8" max="8" width="17.140625" customWidth="1"/>
    <col min="9" max="9" width="14.85546875" customWidth="1"/>
    <col min="10" max="10" width="15.42578125" customWidth="1"/>
    <col min="11" max="11" width="14.85546875" customWidth="1"/>
    <col min="12" max="12" width="14" customWidth="1"/>
    <col min="13" max="13" width="10.7109375" customWidth="1"/>
    <col min="14" max="14" width="11.140625" customWidth="1"/>
    <col min="15" max="15" width="16.7109375" bestFit="1" customWidth="1"/>
    <col min="16" max="16" width="17.7109375" customWidth="1"/>
    <col min="17" max="17" width="15.85546875" customWidth="1"/>
    <col min="18" max="18" width="16.42578125" customWidth="1"/>
    <col min="19" max="19" width="12.42578125" customWidth="1"/>
    <col min="20" max="20" width="15.85546875" customWidth="1"/>
    <col min="21" max="21" width="16.85546875" bestFit="1" customWidth="1"/>
    <col min="22" max="23" width="16.85546875" customWidth="1"/>
    <col min="24" max="24" width="18.28515625" bestFit="1" customWidth="1"/>
    <col min="25" max="25" width="15.42578125" bestFit="1" customWidth="1"/>
    <col min="26" max="27" width="15.85546875" customWidth="1"/>
    <col min="28" max="28" width="17" bestFit="1" customWidth="1"/>
    <col min="29" max="30" width="17" customWidth="1"/>
    <col min="31" max="31" width="15.42578125" customWidth="1"/>
  </cols>
  <sheetData>
    <row r="1" spans="1:31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</row>
    <row r="3" spans="1:31" ht="20.25" customHeight="1" x14ac:dyDescent="0.25">
      <c r="A3" s="25" t="s">
        <v>72</v>
      </c>
      <c r="B3" s="25" t="s">
        <v>0</v>
      </c>
      <c r="C3" s="25" t="s">
        <v>1</v>
      </c>
      <c r="D3" s="25" t="s">
        <v>2</v>
      </c>
      <c r="E3" s="25" t="s">
        <v>3</v>
      </c>
      <c r="F3" s="25" t="s">
        <v>41</v>
      </c>
      <c r="G3" s="25" t="s">
        <v>42</v>
      </c>
      <c r="H3" s="25" t="s">
        <v>4</v>
      </c>
      <c r="I3" s="25" t="s">
        <v>5</v>
      </c>
      <c r="J3" s="25" t="s">
        <v>6</v>
      </c>
      <c r="K3" s="25" t="s">
        <v>7</v>
      </c>
      <c r="L3" s="25" t="s">
        <v>8</v>
      </c>
      <c r="M3" s="25" t="str">
        <f>'Room Information'!A3</f>
        <v>Room ID</v>
      </c>
      <c r="N3" s="25" t="str">
        <f>'Room Information'!B3</f>
        <v>Room Type</v>
      </c>
      <c r="O3" s="25" t="str">
        <f>CONCATENATE("Initial ",'Room Information'!C3)</f>
        <v>Initial Room Price</v>
      </c>
      <c r="P3" s="25" t="str">
        <f>'Room Information'!D3</f>
        <v>Room Availability</v>
      </c>
      <c r="Q3" s="25" t="s">
        <v>76</v>
      </c>
      <c r="R3" s="25" t="s">
        <v>77</v>
      </c>
      <c r="S3" s="25" t="s">
        <v>73</v>
      </c>
      <c r="T3" s="25" t="s">
        <v>74</v>
      </c>
      <c r="U3" s="25" t="s">
        <v>75</v>
      </c>
      <c r="V3" s="25" t="s">
        <v>118</v>
      </c>
      <c r="W3" s="25" t="s">
        <v>123</v>
      </c>
      <c r="X3" s="25" t="s">
        <v>79</v>
      </c>
      <c r="Y3" s="25" t="s">
        <v>91</v>
      </c>
      <c r="Z3" s="25" t="s">
        <v>80</v>
      </c>
      <c r="AA3" s="25" t="s">
        <v>103</v>
      </c>
      <c r="AB3" s="25" t="s">
        <v>81</v>
      </c>
      <c r="AC3" s="25" t="s">
        <v>104</v>
      </c>
      <c r="AD3" s="25" t="s">
        <v>112</v>
      </c>
      <c r="AE3" s="25" t="s">
        <v>111</v>
      </c>
    </row>
    <row r="4" spans="1:31" x14ac:dyDescent="0.25">
      <c r="A4" s="31" t="s">
        <v>95</v>
      </c>
      <c r="B4" s="31" t="s">
        <v>10</v>
      </c>
      <c r="C4" s="30" t="str">
        <f>VLOOKUP(B4,'Customer Information'!$A$4:$K$11,2,FALSE)</f>
        <v>Mrs</v>
      </c>
      <c r="D4" s="30" t="str">
        <f>VLOOKUP(B4,'Customer Information'!$A$4:$K$11,3,FALSE)</f>
        <v>Paulina</v>
      </c>
      <c r="E4" s="30" t="str">
        <f>VLOOKUP(B4,'Customer Information'!$A$4:$K$11,4,FALSE)</f>
        <v>Jebb</v>
      </c>
      <c r="F4" s="30" t="str">
        <f>VLOOKUP(B4,'Customer Information'!$A$4:$K$11,5,FALSE)</f>
        <v>foodie@gmail.com</v>
      </c>
      <c r="G4" s="30" t="str">
        <f>VLOOKUP(B4,'Customer Information'!$A$4:$K$11,6,FALSE)</f>
        <v>87864 345679</v>
      </c>
      <c r="H4" s="30" t="str">
        <f>VLOOKUP(B4,'Customer Information'!$A$4:$K$11,7,FALSE)</f>
        <v>97 Salmon Street</v>
      </c>
      <c r="I4" s="30" t="str">
        <f>VLOOKUP(B4,'Customer Information'!$A$4:$K$11,8,FALSE)</f>
        <v>Cheshire</v>
      </c>
      <c r="J4" s="30" t="str">
        <f>VLOOKUP(B4,'Customer Information'!$A$4:$K$11,9,FALSE)</f>
        <v>Ingoo Plaza</v>
      </c>
      <c r="K4" s="30" t="str">
        <f>VLOOKUP(B4,'Customer Information'!$A$4:$K$11,10,FALSE)</f>
        <v>England</v>
      </c>
      <c r="L4" s="30" t="str">
        <f>VLOOKUP(B4,'Customer Information'!$A$4:$K$11,11,FALSE)</f>
        <v>SY7 8EE</v>
      </c>
      <c r="M4" s="31" t="s">
        <v>59</v>
      </c>
      <c r="N4" s="30" t="str">
        <f>VLOOKUP(M4,'Room Information'!$A$4:$D$11,2,FALSE)</f>
        <v>Twin</v>
      </c>
      <c r="O4" s="36">
        <f>VLOOKUP(M4,'Room Information'!$A$4:$D$11,3,FALSE)</f>
        <v>10</v>
      </c>
      <c r="P4" s="30" t="str">
        <f>VLOOKUP(M4,'Room Information'!$A$4:$D$11,4,FALSE)</f>
        <v>Available</v>
      </c>
      <c r="Q4" s="37">
        <f ca="1">TODAY()</f>
        <v>41534</v>
      </c>
      <c r="R4" s="30" t="str">
        <f ca="1">CONCATENATE(S4-Q4," Days")</f>
        <v>62 Days</v>
      </c>
      <c r="S4" s="37">
        <v>41596</v>
      </c>
      <c r="T4" s="37">
        <v>41603</v>
      </c>
      <c r="U4" s="5">
        <f>T4-S4</f>
        <v>7</v>
      </c>
      <c r="V4" s="31" t="s">
        <v>122</v>
      </c>
      <c r="W4" s="5" t="str">
        <f>IF(V4="Lunch","£5.00",IF(V4="Breakfast","£2.50",IF(V4="Evening","£6.50",IF(V4="All Meals","£10.00",IF(V4="No Meals","£0.00")))))</f>
        <v>£6.50</v>
      </c>
      <c r="X4" s="31" t="s">
        <v>84</v>
      </c>
      <c r="Y4" s="5" t="str">
        <f>IF(X4="Room Only","£5.00",IF(X4="Full Service","£10.00",IF(X4="Clothes Only","£3.00")))</f>
        <v>£3.00</v>
      </c>
      <c r="Z4" s="31" t="s">
        <v>86</v>
      </c>
      <c r="AA4" s="19" t="str">
        <f t="shared" ref="AA4:AA11" si="0">IF(Z4="Evenings","£5.00",IF(Z4="Mornings","£3.00",IF(Z4="All hours","£10.00",IF(Z4="Afternoons","£4.50"))))</f>
        <v>£3.00</v>
      </c>
      <c r="AB4" s="31" t="s">
        <v>105</v>
      </c>
      <c r="AC4" s="5" t="str">
        <f>IF(AB4="10 Minutes","£1.50",IF(AB4="20 Minutes","£3.00",IF(AB4="30 Minutes","£4.50",IF(AB4="All Day","£10.00"))))</f>
        <v>£1.50</v>
      </c>
      <c r="AD4" s="19">
        <f>U4*O4</f>
        <v>70</v>
      </c>
      <c r="AE4" s="6">
        <f>Y4+AA4+AC4+AD4+W4</f>
        <v>84</v>
      </c>
    </row>
    <row r="5" spans="1:31" x14ac:dyDescent="0.25">
      <c r="A5" s="31" t="s">
        <v>96</v>
      </c>
      <c r="B5" s="31" t="s">
        <v>10</v>
      </c>
      <c r="C5" s="30" t="str">
        <f>VLOOKUP(B5,'Customer Information'!$A$4:$K$11,2,FALSE)</f>
        <v>Mrs</v>
      </c>
      <c r="D5" s="30" t="str">
        <f>VLOOKUP(B5,'Customer Information'!$A$4:$K$11,3,FALSE)</f>
        <v>Paulina</v>
      </c>
      <c r="E5" s="30" t="str">
        <f>VLOOKUP(B5,'Customer Information'!$A$4:$K$11,4,FALSE)</f>
        <v>Jebb</v>
      </c>
      <c r="F5" s="30" t="str">
        <f>VLOOKUP(B5,'Customer Information'!$A$4:$K$11,5,FALSE)</f>
        <v>foodie@gmail.com</v>
      </c>
      <c r="G5" s="30" t="str">
        <f>VLOOKUP(B5,'Customer Information'!$A$4:$K$11,6,FALSE)</f>
        <v>87864 345679</v>
      </c>
      <c r="H5" s="30" t="str">
        <f>VLOOKUP(B5,'Customer Information'!$A$4:$K$11,7,FALSE)</f>
        <v>97 Salmon Street</v>
      </c>
      <c r="I5" s="30" t="str">
        <f>VLOOKUP(B5,'Customer Information'!$A$4:$K$11,8,FALSE)</f>
        <v>Cheshire</v>
      </c>
      <c r="J5" s="30" t="str">
        <f>VLOOKUP(B5,'Customer Information'!$A$4:$K$11,9,FALSE)</f>
        <v>Ingoo Plaza</v>
      </c>
      <c r="K5" s="30" t="str">
        <f>VLOOKUP(B5,'Customer Information'!$A$4:$K$11,10,FALSE)</f>
        <v>England</v>
      </c>
      <c r="L5" s="30" t="str">
        <f>VLOOKUP(B5,'Customer Information'!$A$4:$K$11,11,FALSE)</f>
        <v>SY7 8EE</v>
      </c>
      <c r="M5" s="31" t="s">
        <v>60</v>
      </c>
      <c r="N5" s="30" t="str">
        <f>VLOOKUP(M5,'Room Information'!$A$4:$D$11,2,FALSE)</f>
        <v>Double</v>
      </c>
      <c r="O5" s="36">
        <f>VLOOKUP(M5,'Room Information'!$A$4:$D$11,3,FALSE)</f>
        <v>10</v>
      </c>
      <c r="P5" s="30" t="str">
        <f>VLOOKUP(M5,'Room Information'!$A$4:$D$11,4,FALSE)</f>
        <v>Available</v>
      </c>
      <c r="Q5" s="37">
        <v>41437</v>
      </c>
      <c r="R5" s="30" t="str">
        <f t="shared" ref="R5:R11" si="1">CONCATENATE(S5-Q5," Days")</f>
        <v>54 Days</v>
      </c>
      <c r="S5" s="37">
        <v>41491</v>
      </c>
      <c r="T5" s="37">
        <v>41492</v>
      </c>
      <c r="U5" s="5">
        <f t="shared" ref="U5:U11" si="2">T5-S5</f>
        <v>1</v>
      </c>
      <c r="V5" s="31" t="s">
        <v>121</v>
      </c>
      <c r="W5" s="5" t="str">
        <f>IF(V5="Lunch","£5.00",IF(V5="Breakfast","£2.50",IF(V5="Evening","£6.50",IF(V5="All Meals","£10.00",IF(V5="No Meals","£0.00")))))</f>
        <v>£10.00</v>
      </c>
      <c r="X5" s="31" t="s">
        <v>83</v>
      </c>
      <c r="Y5" s="5" t="str">
        <f t="shared" ref="Y5:Y11" si="3">IF(X5="Room Only","£5.00",IF(X5="Full Service","£10.00",IF(X5="Clothes Only","£3.00")))</f>
        <v>£5.00</v>
      </c>
      <c r="Z5" s="31" t="s">
        <v>109</v>
      </c>
      <c r="AA5" s="19" t="str">
        <f t="shared" si="0"/>
        <v>£5.00</v>
      </c>
      <c r="AB5" s="31" t="s">
        <v>105</v>
      </c>
      <c r="AC5" s="5" t="str">
        <f t="shared" ref="AC5:AC11" si="4">IF(AB5="10 Minutes","£1.50",IF(AB5="20 Minutes","£3.00",IF(AB5="30 Minutes","£4.50",IF(AB5="All Day","£10.00"))))</f>
        <v>£1.50</v>
      </c>
      <c r="AD5" s="19">
        <f t="shared" ref="AD5:AD11" si="5">U5*O5</f>
        <v>10</v>
      </c>
      <c r="AE5" s="6">
        <f t="shared" ref="AE5:AE11" si="6">Y5+AA5+AC5+AD5+W5</f>
        <v>31.5</v>
      </c>
    </row>
    <row r="6" spans="1:31" x14ac:dyDescent="0.25">
      <c r="A6" s="31" t="s">
        <v>97</v>
      </c>
      <c r="B6" s="31" t="s">
        <v>11</v>
      </c>
      <c r="C6" s="30" t="str">
        <f>VLOOKUP(B6,'Customer Information'!$A$4:$K$11,2,FALSE)</f>
        <v>Doctor</v>
      </c>
      <c r="D6" s="30" t="str">
        <f>VLOOKUP(B6,'Customer Information'!$A$4:$K$11,3,FALSE)</f>
        <v>Paul</v>
      </c>
      <c r="E6" s="30" t="str">
        <f>VLOOKUP(B6,'Customer Information'!$A$4:$K$11,4,FALSE)</f>
        <v>Jacobs</v>
      </c>
      <c r="F6" s="30" t="str">
        <f>VLOOKUP(B6,'Customer Information'!$A$4:$K$11,5,FALSE)</f>
        <v>iraq@gov.com</v>
      </c>
      <c r="G6" s="30" t="str">
        <f>VLOOKUP(B6,'Customer Information'!$A$4:$K$11,6,FALSE)</f>
        <v>87864 345680</v>
      </c>
      <c r="H6" s="30" t="str">
        <f>VLOOKUP(B6,'Customer Information'!$A$4:$K$11,7,FALSE)</f>
        <v>32 Chip Avenue</v>
      </c>
      <c r="I6" s="30" t="str">
        <f>VLOOKUP(B6,'Customer Information'!$A$4:$K$11,8,FALSE)</f>
        <v>Birmingham</v>
      </c>
      <c r="J6" s="30" t="str">
        <f>VLOOKUP(B6,'Customer Information'!$A$4:$K$11,9,FALSE)</f>
        <v>The Bullring</v>
      </c>
      <c r="K6" s="30" t="str">
        <f>VLOOKUP(B6,'Customer Information'!$A$4:$K$11,10,FALSE)</f>
        <v>England</v>
      </c>
      <c r="L6" s="30" t="str">
        <f>VLOOKUP(B6,'Customer Information'!$A$4:$K$11,11,FALSE)</f>
        <v>SY7 8EE</v>
      </c>
      <c r="M6" s="31" t="s">
        <v>59</v>
      </c>
      <c r="N6" s="30" t="str">
        <f>VLOOKUP(M6,'Room Information'!$A$4:$D$11,2,FALSE)</f>
        <v>Twin</v>
      </c>
      <c r="O6" s="36">
        <f>VLOOKUP(M6,'Room Information'!$A$4:$D$11,3,FALSE)</f>
        <v>10</v>
      </c>
      <c r="P6" s="30" t="str">
        <f>VLOOKUP(M6,'Room Information'!$A$4:$D$11,4,FALSE)</f>
        <v>Available</v>
      </c>
      <c r="Q6" s="37">
        <v>41283</v>
      </c>
      <c r="R6" s="30" t="str">
        <f t="shared" si="1"/>
        <v>149 Days</v>
      </c>
      <c r="S6" s="37">
        <v>41432</v>
      </c>
      <c r="T6" s="37">
        <v>41463</v>
      </c>
      <c r="U6" s="5">
        <f t="shared" si="2"/>
        <v>31</v>
      </c>
      <c r="V6" s="31" t="s">
        <v>124</v>
      </c>
      <c r="W6" s="5" t="str">
        <f t="shared" ref="W6:W11" si="7">IF(V6="Lunch","£5.00",IF(V6="Breakfast","£2.50",IF(V6="Evening","£6.50",IF(V6="All Meals","£10.00",IF(V6="No Meals","£0.00")))))</f>
        <v>£0.00</v>
      </c>
      <c r="X6" s="31" t="s">
        <v>82</v>
      </c>
      <c r="Y6" s="5" t="str">
        <f t="shared" si="3"/>
        <v>£10.00</v>
      </c>
      <c r="Z6" s="31" t="s">
        <v>109</v>
      </c>
      <c r="AA6" s="19" t="str">
        <f t="shared" si="0"/>
        <v>£5.00</v>
      </c>
      <c r="AB6" s="31" t="s">
        <v>106</v>
      </c>
      <c r="AC6" s="5" t="str">
        <f t="shared" si="4"/>
        <v>£3.00</v>
      </c>
      <c r="AD6" s="19">
        <f t="shared" si="5"/>
        <v>310</v>
      </c>
      <c r="AE6" s="6">
        <f t="shared" si="6"/>
        <v>328</v>
      </c>
    </row>
    <row r="7" spans="1:31" x14ac:dyDescent="0.25">
      <c r="A7" s="31" t="s">
        <v>98</v>
      </c>
      <c r="B7" s="31" t="s">
        <v>12</v>
      </c>
      <c r="C7" s="30" t="str">
        <f>VLOOKUP(B7,'Customer Information'!$A$4:$K$11,2,FALSE)</f>
        <v>Lord</v>
      </c>
      <c r="D7" s="30" t="str">
        <f>VLOOKUP(B7,'Customer Information'!$A$4:$K$11,3,FALSE)</f>
        <v>Alan</v>
      </c>
      <c r="E7" s="30" t="str">
        <f>VLOOKUP(B7,'Customer Information'!$A$4:$K$11,4,FALSE)</f>
        <v>Sugar</v>
      </c>
      <c r="F7" s="30" t="str">
        <f>VLOOKUP(B7,'Customer Information'!$A$4:$K$11,5,FALSE)</f>
        <v>foodie@gmail.com</v>
      </c>
      <c r="G7" s="30" t="str">
        <f>VLOOKUP(B7,'Customer Information'!$A$4:$K$11,6,FALSE)</f>
        <v>87864 345681</v>
      </c>
      <c r="H7" s="30" t="str">
        <f>VLOOKUP(B7,'Customer Information'!$A$4:$K$11,7,FALSE)</f>
        <v>12 Youview Lane</v>
      </c>
      <c r="I7" s="30" t="str">
        <f>VLOOKUP(B7,'Customer Information'!$A$4:$K$11,8,FALSE)</f>
        <v>London</v>
      </c>
      <c r="J7" s="30" t="str">
        <f>VLOOKUP(B7,'Customer Information'!$A$4:$K$11,9,FALSE)</f>
        <v>Hampshire</v>
      </c>
      <c r="K7" s="30" t="str">
        <f>VLOOKUP(B7,'Customer Information'!$A$4:$K$11,10,FALSE)</f>
        <v>England</v>
      </c>
      <c r="L7" s="30" t="str">
        <f>VLOOKUP(B7,'Customer Information'!$A$4:$K$11,11,FALSE)</f>
        <v>SY7 8EE</v>
      </c>
      <c r="M7" s="31" t="s">
        <v>62</v>
      </c>
      <c r="N7" s="30" t="str">
        <f>VLOOKUP(M7,'Room Information'!$A$4:$D$11,2,FALSE)</f>
        <v>Double</v>
      </c>
      <c r="O7" s="36">
        <f>VLOOKUP(M7,'Room Information'!$A$4:$D$11,3,FALSE)</f>
        <v>10</v>
      </c>
      <c r="P7" s="30" t="str">
        <f>VLOOKUP(M7,'Room Information'!$A$4:$D$11,4,FALSE)</f>
        <v>Available</v>
      </c>
      <c r="Q7" s="37">
        <v>41289</v>
      </c>
      <c r="R7" s="30" t="str">
        <f t="shared" si="1"/>
        <v>345 Days</v>
      </c>
      <c r="S7" s="37">
        <v>41634</v>
      </c>
      <c r="T7" s="37">
        <v>41640</v>
      </c>
      <c r="U7" s="5">
        <f t="shared" si="2"/>
        <v>6</v>
      </c>
      <c r="V7" s="31" t="s">
        <v>119</v>
      </c>
      <c r="W7" s="5" t="str">
        <f t="shared" si="7"/>
        <v>£5.00</v>
      </c>
      <c r="X7" s="31" t="s">
        <v>82</v>
      </c>
      <c r="Y7" s="5" t="str">
        <f t="shared" si="3"/>
        <v>£10.00</v>
      </c>
      <c r="Z7" s="31" t="s">
        <v>88</v>
      </c>
      <c r="AA7" s="19" t="str">
        <f t="shared" si="0"/>
        <v>£4.50</v>
      </c>
      <c r="AB7" s="31" t="s">
        <v>110</v>
      </c>
      <c r="AC7" s="5" t="str">
        <f t="shared" si="4"/>
        <v>£10.00</v>
      </c>
      <c r="AD7" s="19">
        <f t="shared" si="5"/>
        <v>60</v>
      </c>
      <c r="AE7" s="6">
        <f t="shared" si="6"/>
        <v>89.5</v>
      </c>
    </row>
    <row r="8" spans="1:31" x14ac:dyDescent="0.25">
      <c r="A8" s="31" t="s">
        <v>99</v>
      </c>
      <c r="B8" s="31" t="s">
        <v>13</v>
      </c>
      <c r="C8" s="30" t="str">
        <f>VLOOKUP(B8,'Customer Information'!$A$4:$K$11,2,FALSE)</f>
        <v>Doctor</v>
      </c>
      <c r="D8" s="30" t="str">
        <f>VLOOKUP(B8,'Customer Information'!$A$4:$K$11,3,FALSE)</f>
        <v>Tony</v>
      </c>
      <c r="E8" s="30" t="str">
        <f>VLOOKUP(B8,'Customer Information'!$A$4:$K$11,4,FALSE)</f>
        <v>Blair</v>
      </c>
      <c r="F8" s="30" t="str">
        <f>VLOOKUP(B8,'Customer Information'!$A$4:$K$11,5,FALSE)</f>
        <v>iraq@gov.com</v>
      </c>
      <c r="G8" s="30" t="str">
        <f>VLOOKUP(B8,'Customer Information'!$A$4:$K$11,6,FALSE)</f>
        <v>87864 345682</v>
      </c>
      <c r="H8" s="30" t="str">
        <f>VLOOKUP(B8,'Customer Information'!$A$4:$K$11,7,FALSE)</f>
        <v>Hampshire Row</v>
      </c>
      <c r="I8" s="30" t="str">
        <f>VLOOKUP(B8,'Customer Information'!$A$4:$K$11,8,FALSE)</f>
        <v>Reading</v>
      </c>
      <c r="J8" s="30" t="str">
        <f>VLOOKUP(B8,'Customer Information'!$A$4:$K$11,9,FALSE)</f>
        <v xml:space="preserve"> Train Station</v>
      </c>
      <c r="K8" s="30" t="str">
        <f>VLOOKUP(B8,'Customer Information'!$A$4:$K$11,10,FALSE)</f>
        <v>England</v>
      </c>
      <c r="L8" s="30" t="str">
        <f>VLOOKUP(B8,'Customer Information'!$A$4:$K$11,11,FALSE)</f>
        <v>SY7 8EE</v>
      </c>
      <c r="M8" s="31" t="s">
        <v>63</v>
      </c>
      <c r="N8" s="30" t="str">
        <f>VLOOKUP(M8,'Room Information'!$A$4:$D$11,2,FALSE)</f>
        <v>Twin</v>
      </c>
      <c r="O8" s="36">
        <f>VLOOKUP(M8,'Room Information'!$A$4:$D$11,3,FALSE)</f>
        <v>10</v>
      </c>
      <c r="P8" s="30" t="str">
        <f>VLOOKUP(M8,'Room Information'!$A$4:$D$11,4,FALSE)</f>
        <v>Not available</v>
      </c>
      <c r="Q8" s="37">
        <v>41356</v>
      </c>
      <c r="R8" s="30" t="str">
        <f t="shared" si="1"/>
        <v>7 Days</v>
      </c>
      <c r="S8" s="37">
        <v>41363</v>
      </c>
      <c r="T8" s="37">
        <v>41374</v>
      </c>
      <c r="U8" s="5">
        <f t="shared" si="2"/>
        <v>11</v>
      </c>
      <c r="V8" s="31" t="s">
        <v>120</v>
      </c>
      <c r="W8" s="5" t="str">
        <f t="shared" si="7"/>
        <v>£2.50</v>
      </c>
      <c r="X8" s="31" t="s">
        <v>83</v>
      </c>
      <c r="Y8" s="5" t="str">
        <f t="shared" si="3"/>
        <v>£5.00</v>
      </c>
      <c r="Z8" s="31" t="s">
        <v>86</v>
      </c>
      <c r="AA8" s="19" t="str">
        <f t="shared" si="0"/>
        <v>£3.00</v>
      </c>
      <c r="AB8" s="31" t="s">
        <v>110</v>
      </c>
      <c r="AC8" s="5" t="str">
        <f t="shared" si="4"/>
        <v>£10.00</v>
      </c>
      <c r="AD8" s="19">
        <f t="shared" si="5"/>
        <v>110</v>
      </c>
      <c r="AE8" s="6">
        <f t="shared" si="6"/>
        <v>130.5</v>
      </c>
    </row>
    <row r="9" spans="1:31" x14ac:dyDescent="0.25">
      <c r="A9" s="31" t="s">
        <v>100</v>
      </c>
      <c r="B9" s="31" t="s">
        <v>14</v>
      </c>
      <c r="C9" s="30" t="str">
        <f>VLOOKUP(B9,'Customer Information'!$A$4:$K$11,2,FALSE)</f>
        <v>Ms</v>
      </c>
      <c r="D9" s="30" t="str">
        <f>VLOOKUP(B9,'Customer Information'!$A$4:$K$11,3,FALSE)</f>
        <v>Samantha</v>
      </c>
      <c r="E9" s="30" t="str">
        <f>VLOOKUP(B9,'Customer Information'!$A$4:$K$11,4,FALSE)</f>
        <v>Blair</v>
      </c>
      <c r="F9" s="30" t="str">
        <f>VLOOKUP(B9,'Customer Information'!$A$4:$K$11,5,FALSE)</f>
        <v>foodie@gmail.com</v>
      </c>
      <c r="G9" s="30" t="str">
        <f>VLOOKUP(B9,'Customer Information'!$A$4:$K$11,6,FALSE)</f>
        <v>87864 345683</v>
      </c>
      <c r="H9" s="30" t="str">
        <f>VLOOKUP(B9,'Customer Information'!$A$4:$K$11,7,FALSE)</f>
        <v>85 Afghan Lane</v>
      </c>
      <c r="I9" s="30" t="str">
        <f>VLOOKUP(B9,'Customer Information'!$A$4:$K$11,8,FALSE)</f>
        <v>London</v>
      </c>
      <c r="J9" s="30" t="str">
        <f>VLOOKUP(B9,'Customer Information'!$A$4:$K$11,9,FALSE)</f>
        <v>Hampshire</v>
      </c>
      <c r="K9" s="30" t="str">
        <f>VLOOKUP(B9,'Customer Information'!$A$4:$K$11,10,FALSE)</f>
        <v>England</v>
      </c>
      <c r="L9" s="30" t="str">
        <f>VLOOKUP(B9,'Customer Information'!$A$4:$K$11,11,FALSE)</f>
        <v>SY7 8EE</v>
      </c>
      <c r="M9" s="31" t="s">
        <v>64</v>
      </c>
      <c r="N9" s="30" t="str">
        <f>VLOOKUP(M9,'Room Information'!$A$4:$D$11,2,FALSE)</f>
        <v>Double</v>
      </c>
      <c r="O9" s="36">
        <f>VLOOKUP(M9,'Room Information'!$A$4:$D$11,3,FALSE)</f>
        <v>10</v>
      </c>
      <c r="P9" s="30" t="str">
        <f>VLOOKUP(M9,'Room Information'!$A$4:$D$11,4,FALSE)</f>
        <v>Not available</v>
      </c>
      <c r="Q9" s="37">
        <v>41401</v>
      </c>
      <c r="R9" s="30" t="str">
        <f t="shared" si="1"/>
        <v>34 Days</v>
      </c>
      <c r="S9" s="37">
        <v>41435</v>
      </c>
      <c r="T9" s="37">
        <v>41437</v>
      </c>
      <c r="U9" s="5">
        <f t="shared" si="2"/>
        <v>2</v>
      </c>
      <c r="V9" s="31" t="s">
        <v>122</v>
      </c>
      <c r="W9" s="5" t="str">
        <f t="shared" si="7"/>
        <v>£6.50</v>
      </c>
      <c r="X9" s="31" t="s">
        <v>83</v>
      </c>
      <c r="Y9" s="5" t="str">
        <f t="shared" si="3"/>
        <v>£5.00</v>
      </c>
      <c r="Z9" s="31" t="s">
        <v>87</v>
      </c>
      <c r="AA9" s="19" t="str">
        <f t="shared" si="0"/>
        <v>£10.00</v>
      </c>
      <c r="AB9" s="31" t="s">
        <v>106</v>
      </c>
      <c r="AC9" s="5" t="str">
        <f t="shared" si="4"/>
        <v>£3.00</v>
      </c>
      <c r="AD9" s="19">
        <f t="shared" si="5"/>
        <v>20</v>
      </c>
      <c r="AE9" s="6">
        <f t="shared" si="6"/>
        <v>44.5</v>
      </c>
    </row>
    <row r="10" spans="1:31" x14ac:dyDescent="0.25">
      <c r="A10" s="31" t="s">
        <v>101</v>
      </c>
      <c r="B10" s="31" t="s">
        <v>15</v>
      </c>
      <c r="C10" s="30" t="str">
        <f>VLOOKUP(B10,'Customer Information'!$A$4:$K$11,2,FALSE)</f>
        <v>Doctor</v>
      </c>
      <c r="D10" s="30" t="str">
        <f>VLOOKUP(B10,'Customer Information'!$A$4:$K$11,3,FALSE)</f>
        <v>Paul</v>
      </c>
      <c r="E10" s="30" t="str">
        <f>VLOOKUP(B10,'Customer Information'!$A$4:$K$11,4,FALSE)</f>
        <v>Jacobs</v>
      </c>
      <c r="F10" s="30" t="str">
        <f>VLOOKUP(B10,'Customer Information'!$A$4:$K$11,5,FALSE)</f>
        <v>iraq@gov.com</v>
      </c>
      <c r="G10" s="30" t="str">
        <f>VLOOKUP(B10,'Customer Information'!$A$4:$K$11,6,FALSE)</f>
        <v>87864 345684</v>
      </c>
      <c r="H10" s="30" t="str">
        <f>VLOOKUP(B10,'Customer Information'!$A$4:$K$11,7,FALSE)</f>
        <v>32 Chip Avenue</v>
      </c>
      <c r="I10" s="30" t="str">
        <f>VLOOKUP(B10,'Customer Information'!$A$4:$K$11,8,FALSE)</f>
        <v>London</v>
      </c>
      <c r="J10" s="30" t="str">
        <f>VLOOKUP(B10,'Customer Information'!$A$4:$K$11,9,FALSE)</f>
        <v>Hampshire</v>
      </c>
      <c r="K10" s="30" t="str">
        <f>VLOOKUP(B10,'Customer Information'!$A$4:$K$11,10,FALSE)</f>
        <v>England</v>
      </c>
      <c r="L10" s="30" t="str">
        <f>VLOOKUP(B10,'Customer Information'!$A$4:$K$11,11,FALSE)</f>
        <v>SY7 8EE</v>
      </c>
      <c r="M10" s="31" t="s">
        <v>65</v>
      </c>
      <c r="N10" s="30" t="str">
        <f>VLOOKUP(M10,'Room Information'!$A$4:$D$11,2,FALSE)</f>
        <v>Twin</v>
      </c>
      <c r="O10" s="36">
        <f>VLOOKUP(M10,'Room Information'!$A$4:$D$11,3,FALSE)</f>
        <v>10</v>
      </c>
      <c r="P10" s="30" t="str">
        <f>VLOOKUP(M10,'Room Information'!$A$4:$D$11,4,FALSE)</f>
        <v>Available</v>
      </c>
      <c r="Q10" s="37">
        <v>41437</v>
      </c>
      <c r="R10" s="30" t="str">
        <f t="shared" si="1"/>
        <v>4 Days</v>
      </c>
      <c r="S10" s="37">
        <v>41441</v>
      </c>
      <c r="T10" s="37">
        <v>41446</v>
      </c>
      <c r="U10" s="5">
        <f t="shared" si="2"/>
        <v>5</v>
      </c>
      <c r="V10" s="31" t="s">
        <v>119</v>
      </c>
      <c r="W10" s="5" t="str">
        <f t="shared" si="7"/>
        <v>£5.00</v>
      </c>
      <c r="X10" s="31" t="s">
        <v>82</v>
      </c>
      <c r="Y10" s="5" t="str">
        <f t="shared" si="3"/>
        <v>£10.00</v>
      </c>
      <c r="Z10" s="31" t="s">
        <v>109</v>
      </c>
      <c r="AA10" s="19" t="str">
        <f>IF(Z10="Evenings","£5.00",IF(Z10="Mornings","£3.00",IF(Z10="All hours","£10.00",IF(Z10="Afternoons","£4.50"))))</f>
        <v>£5.00</v>
      </c>
      <c r="AB10" s="31" t="s">
        <v>105</v>
      </c>
      <c r="AC10" s="5" t="str">
        <f t="shared" si="4"/>
        <v>£1.50</v>
      </c>
      <c r="AD10" s="19">
        <f t="shared" si="5"/>
        <v>50</v>
      </c>
      <c r="AE10" s="6">
        <f t="shared" si="6"/>
        <v>71.5</v>
      </c>
    </row>
    <row r="11" spans="1:31" x14ac:dyDescent="0.25">
      <c r="A11" s="31" t="s">
        <v>102</v>
      </c>
      <c r="B11" s="31" t="s">
        <v>16</v>
      </c>
      <c r="C11" s="30" t="str">
        <f>VLOOKUP(B11,'Customer Information'!$A$4:$K$11,2,FALSE)</f>
        <v>Mrs</v>
      </c>
      <c r="D11" s="30" t="str">
        <f>VLOOKUP(B11,'Customer Information'!$A$4:$K$11,3,FALSE)</f>
        <v>Paulina</v>
      </c>
      <c r="E11" s="30" t="str">
        <f>VLOOKUP(B11,'Customer Information'!$A$4:$K$11,4,FALSE)</f>
        <v>Jebb</v>
      </c>
      <c r="F11" s="30" t="str">
        <f>VLOOKUP(B11,'Customer Information'!$A$4:$K$11,5,FALSE)</f>
        <v>foodie@gmail.com</v>
      </c>
      <c r="G11" s="30" t="str">
        <f>VLOOKUP(B11,'Customer Information'!$A$4:$K$11,6,FALSE)</f>
        <v>87864 345685</v>
      </c>
      <c r="H11" s="30" t="str">
        <f>VLOOKUP(B11,'Customer Information'!$A$4:$K$11,7,FALSE)</f>
        <v>Hampshire Row</v>
      </c>
      <c r="I11" s="30" t="str">
        <f>VLOOKUP(B11,'Customer Information'!$A$4:$K$11,8,FALSE)</f>
        <v>London</v>
      </c>
      <c r="J11" s="30" t="str">
        <f>VLOOKUP(B11,'Customer Information'!$A$4:$K$11,9,FALSE)</f>
        <v>Hampshire</v>
      </c>
      <c r="K11" s="30" t="str">
        <f>VLOOKUP(B11,'Customer Information'!$A$4:$K$11,10,FALSE)</f>
        <v>England</v>
      </c>
      <c r="L11" s="30" t="str">
        <f>VLOOKUP(B11,'Customer Information'!$A$4:$K$11,11,FALSE)</f>
        <v>SY7 8EE</v>
      </c>
      <c r="M11" s="31" t="s">
        <v>66</v>
      </c>
      <c r="N11" s="30" t="str">
        <f>VLOOKUP(M11,'Room Information'!$A$4:$D$11,2,FALSE)</f>
        <v>Double</v>
      </c>
      <c r="O11" s="36">
        <f>VLOOKUP(M11,'Room Information'!$A$4:$D$11,3,FALSE)</f>
        <v>10</v>
      </c>
      <c r="P11" s="30" t="str">
        <f>VLOOKUP(M11,'Room Information'!$A$4:$D$11,4,FALSE)</f>
        <v>Available</v>
      </c>
      <c r="Q11" s="37">
        <f t="shared" ref="Q11" ca="1" si="8">TODAY()</f>
        <v>41534</v>
      </c>
      <c r="R11" s="30" t="str">
        <f t="shared" ca="1" si="1"/>
        <v>-36 Days</v>
      </c>
      <c r="S11" s="37">
        <v>41498</v>
      </c>
      <c r="T11" s="37">
        <v>41500</v>
      </c>
      <c r="U11" s="5">
        <f t="shared" si="2"/>
        <v>2</v>
      </c>
      <c r="V11" s="31" t="s">
        <v>120</v>
      </c>
      <c r="W11" s="5" t="str">
        <f t="shared" si="7"/>
        <v>£2.50</v>
      </c>
      <c r="X11" s="31" t="s">
        <v>84</v>
      </c>
      <c r="Y11" s="5" t="str">
        <f t="shared" si="3"/>
        <v>£3.00</v>
      </c>
      <c r="Z11" s="31" t="s">
        <v>87</v>
      </c>
      <c r="AA11" s="19" t="str">
        <f t="shared" si="0"/>
        <v>£10.00</v>
      </c>
      <c r="AB11" s="31" t="s">
        <v>110</v>
      </c>
      <c r="AC11" s="5" t="str">
        <f t="shared" si="4"/>
        <v>£10.00</v>
      </c>
      <c r="AD11" s="19">
        <f t="shared" si="5"/>
        <v>20</v>
      </c>
      <c r="AE11" s="6">
        <f t="shared" si="6"/>
        <v>45.5</v>
      </c>
    </row>
    <row r="12" spans="1:31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4"/>
      <c r="P12" s="13"/>
      <c r="Q12" s="15"/>
      <c r="R12" s="13"/>
      <c r="S12" s="15"/>
      <c r="T12" s="15"/>
      <c r="U12" s="13"/>
      <c r="V12" s="13"/>
      <c r="W12" s="13"/>
      <c r="X12" s="16"/>
      <c r="Y12" s="16"/>
      <c r="Z12" s="13"/>
      <c r="AA12" s="13"/>
      <c r="AB12" s="13"/>
      <c r="AC12" s="13"/>
      <c r="AD12" s="13"/>
    </row>
    <row r="13" spans="1:31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4"/>
      <c r="P13" s="13"/>
      <c r="Q13" s="15"/>
      <c r="R13" s="13"/>
      <c r="S13" s="15"/>
      <c r="T13" s="15"/>
      <c r="U13" s="13"/>
      <c r="V13" s="13"/>
      <c r="W13" s="13"/>
      <c r="X13" s="16"/>
      <c r="Y13" s="16"/>
      <c r="Z13" s="13"/>
      <c r="AA13" s="13"/>
      <c r="AB13" s="13"/>
      <c r="AC13" s="13"/>
      <c r="AD13" s="13"/>
    </row>
    <row r="14" spans="1:31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4"/>
      <c r="P14" s="13"/>
      <c r="Q14" s="15"/>
      <c r="R14" s="13"/>
      <c r="S14" s="15"/>
      <c r="T14" s="15"/>
      <c r="U14" s="13"/>
      <c r="V14" s="13"/>
      <c r="W14" s="13"/>
      <c r="X14" s="16"/>
      <c r="Y14" s="16"/>
      <c r="Z14" s="13"/>
      <c r="AA14" s="13"/>
      <c r="AB14" s="13"/>
      <c r="AC14" s="13"/>
      <c r="AD14" s="13"/>
    </row>
    <row r="15" spans="1:3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4"/>
      <c r="P15" s="13"/>
      <c r="Q15" s="15"/>
      <c r="R15" s="13"/>
      <c r="S15" s="15"/>
      <c r="T15" s="15"/>
      <c r="U15" s="13"/>
      <c r="V15" s="13"/>
      <c r="W15" s="13"/>
      <c r="X15" s="16"/>
      <c r="Y15" s="16"/>
      <c r="Z15" s="13"/>
      <c r="AA15" s="13"/>
      <c r="AB15" s="13"/>
      <c r="AC15" s="13"/>
      <c r="AD15" s="13"/>
    </row>
    <row r="16" spans="1:31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4"/>
      <c r="P16" s="13"/>
      <c r="Q16" s="15"/>
      <c r="R16" s="13"/>
      <c r="S16" s="15"/>
      <c r="T16" s="15"/>
      <c r="U16" s="13"/>
      <c r="V16" s="13"/>
      <c r="W16" s="13"/>
      <c r="X16" s="16"/>
      <c r="Y16" s="16"/>
      <c r="Z16" s="13"/>
      <c r="AA16" s="13"/>
      <c r="AB16" s="13"/>
      <c r="AC16" s="13"/>
      <c r="AD16" s="13"/>
    </row>
    <row r="17" spans="1:30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4"/>
      <c r="P17" s="13"/>
      <c r="Q17" s="15"/>
      <c r="R17" s="13"/>
      <c r="S17" s="15"/>
      <c r="T17" s="15"/>
      <c r="U17" s="13"/>
      <c r="V17" s="13"/>
      <c r="W17" s="13"/>
      <c r="X17" s="16"/>
      <c r="Y17" s="16"/>
      <c r="Z17" s="13"/>
      <c r="AA17" s="13"/>
      <c r="AB17" s="13"/>
      <c r="AC17" s="13"/>
      <c r="AD17" s="13"/>
    </row>
    <row r="18" spans="1:30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4"/>
      <c r="P18" s="13"/>
      <c r="Q18" s="15"/>
      <c r="R18" s="13"/>
      <c r="S18" s="15"/>
      <c r="T18" s="15"/>
      <c r="U18" s="13"/>
      <c r="V18" s="13"/>
      <c r="W18" s="13"/>
      <c r="X18" s="16"/>
      <c r="Y18" s="16"/>
      <c r="Z18" s="13"/>
      <c r="AA18" s="13"/>
      <c r="AB18" s="13"/>
      <c r="AC18" s="13"/>
      <c r="AD18" s="13"/>
    </row>
    <row r="19" spans="1:30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4"/>
      <c r="P19" s="13"/>
      <c r="Q19" s="15"/>
      <c r="R19" s="13"/>
      <c r="S19" s="15"/>
      <c r="T19" s="15"/>
      <c r="U19" s="13"/>
      <c r="V19" s="13"/>
      <c r="W19" s="13"/>
      <c r="X19" s="16"/>
      <c r="Y19" s="16"/>
      <c r="Z19" s="13"/>
      <c r="AA19" s="13"/>
      <c r="AB19" s="13"/>
      <c r="AC19" s="13"/>
      <c r="AD19" s="13"/>
    </row>
    <row r="22" spans="1:30" x14ac:dyDescent="0.25">
      <c r="S22" s="7" t="str">
        <f>IF(LEN(U4)&gt;0,"Room full!","Room free!")</f>
        <v>Room full!</v>
      </c>
    </row>
    <row r="31" spans="1:30" x14ac:dyDescent="0.25">
      <c r="T31" s="18"/>
    </row>
  </sheetData>
  <sheetProtection sheet="1" objects="1" scenarios="1"/>
  <conditionalFormatting sqref="T4">
    <cfRule type="cellIs" dxfId="11" priority="8" operator="lessThan">
      <formula>$S$4</formula>
    </cfRule>
  </conditionalFormatting>
  <conditionalFormatting sqref="T5">
    <cfRule type="cellIs" dxfId="10" priority="7" operator="lessThan">
      <formula>$S$5</formula>
    </cfRule>
  </conditionalFormatting>
  <conditionalFormatting sqref="T6">
    <cfRule type="cellIs" dxfId="9" priority="6" operator="lessThan">
      <formula>$S$6</formula>
    </cfRule>
  </conditionalFormatting>
  <conditionalFormatting sqref="T7">
    <cfRule type="cellIs" dxfId="8" priority="5" operator="lessThan">
      <formula>$S$7</formula>
    </cfRule>
  </conditionalFormatting>
  <conditionalFormatting sqref="T8">
    <cfRule type="cellIs" dxfId="7" priority="4" operator="lessThan">
      <formula>$S$8</formula>
    </cfRule>
  </conditionalFormatting>
  <conditionalFormatting sqref="T9">
    <cfRule type="cellIs" dxfId="6" priority="3" operator="lessThan">
      <formula>$S$9</formula>
    </cfRule>
  </conditionalFormatting>
  <conditionalFormatting sqref="T10">
    <cfRule type="cellIs" dxfId="5" priority="2" operator="lessThan">
      <formula>$S$10</formula>
    </cfRule>
  </conditionalFormatting>
  <conditionalFormatting sqref="T11">
    <cfRule type="cellIs" dxfId="4" priority="1" operator="lessThan">
      <formula>$S$11</formula>
    </cfRule>
  </conditionalFormatting>
  <dataValidations count="17">
    <dataValidation type="date" allowBlank="1" showInputMessage="1" showErrorMessage="1" errorTitle="Invalid Input" error="You must enter a valid date." sqref="S4:S19">
      <formula1>36526</formula1>
      <formula2>402114</formula2>
    </dataValidation>
    <dataValidation allowBlank="1" showInputMessage="1" showErrorMessage="1" errorTitle="Invalid Input" error="You must enter a number between 1 and 365." sqref="U4:U19 V12:W19"/>
    <dataValidation type="date" allowBlank="1" showInputMessage="1" showErrorMessage="1" errorTitle="Invalid Input" error="You must enter a valid date." sqref="T12:T19">
      <formula1>41275</formula1>
      <formula2>42350</formula2>
    </dataValidation>
    <dataValidation allowBlank="1" showInputMessage="1" showErrorMessage="1" errorTitle="Invalid Input" error="You must input a valid room ID." sqref="N4:N19"/>
    <dataValidation type="list" allowBlank="1" showInputMessage="1" errorTitle="Invalid Input" error="You must select the type of cleaning required." sqref="X4:X19 Y12:Y19">
      <formula1>"Full Service,Room Only,Clothes Only"</formula1>
    </dataValidation>
    <dataValidation type="list" allowBlank="1" showInputMessage="1" showErrorMessage="1" sqref="Z12:AA19">
      <formula1>"All hours,Mornings,Afternoons,Evening"</formula1>
    </dataValidation>
    <dataValidation type="list" allowBlank="1" showInputMessage="1" showErrorMessage="1" errorTitle="Invalid Input" error="You must select the amount of time required." sqref="AB12:AD19">
      <formula1>"10 Minutes,20 Minutes,30 Minutes,1 Hour Plus"</formula1>
    </dataValidation>
    <dataValidation allowBlank="1" showInputMessage="1" showErrorMessage="1" errorTitle="Invalid Input" error="You must enter a valid date." sqref="T4:T11"/>
    <dataValidation allowBlank="1" showInputMessage="1" errorTitle="Invalid Input" error="You must select the type of cleaning required." sqref="Y4:Y11"/>
    <dataValidation allowBlank="1" showInputMessage="1" showErrorMessage="1" promptTitle="Cleaning charges" prompt="This is how much the customer is charged for their cleaning. It changes depending on the services required." sqref="Y3"/>
    <dataValidation type="list" allowBlank="1" showInputMessage="1" showErrorMessage="1" sqref="Z4:Z11">
      <formula1>"All hours,Mornings,Afternoons,Evenings"</formula1>
    </dataValidation>
    <dataValidation allowBlank="1" showInputMessage="1" showErrorMessage="1" errorTitle="Invalid Input" error="You must select the amount of time required." sqref="AC4:AD11"/>
    <dataValidation type="list" allowBlank="1" showInputMessage="1" showErrorMessage="1" errorTitle="Invalid Input" error="You must select the amount of time required." sqref="AB4:AB11">
      <formula1>"10 Minutes,20 Minutes,30 Minutes,All Day"</formula1>
    </dataValidation>
    <dataValidation allowBlank="1" showInputMessage="1" showErrorMessage="1" promptTitle="Cleaning Services" prompt="This is the cleaning option the customer has opted for." sqref="X3"/>
    <dataValidation allowBlank="1" showInputMessage="1" showErrorMessage="1" promptTitle="Total Room Cost" prompt="The total cost of the room is worked out by multiplying the initial room cost by the number of nights stayed." sqref="AD3"/>
    <dataValidation type="list" allowBlank="1" showInputMessage="1" showErrorMessage="1" errorTitle="Invalid Input" error="You must choose one of the items from the list." sqref="V4:V11">
      <formula1>"Breakfast,Lunch,Evening,All Meals,No Meals"</formula1>
    </dataValidation>
    <dataValidation allowBlank="1" showInputMessage="1" showErrorMessage="1" errorTitle="Invalid Input" error="You must choose one of the items from the list." sqref="W4:W11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'Customer Information'!$A$4:$A$11</xm:f>
          </x14:formula1>
          <xm:sqref>B4:B19</xm:sqref>
        </x14:dataValidation>
        <x14:dataValidation type="list" allowBlank="1" showInputMessage="1" showErrorMessage="1" errorTitle="Invalid Input" error="You must input a valid room ID.">
          <x14:formula1>
            <xm:f>'Room Information'!$A$4:$A$11</xm:f>
          </x14:formula1>
          <xm:sqref>M4:M19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T11"/>
  <sheetViews>
    <sheetView windowProtection="1" workbookViewId="0"/>
  </sheetViews>
  <sheetFormatPr defaultRowHeight="15" x14ac:dyDescent="0.25"/>
  <cols>
    <col min="1" max="1" width="9.85546875" customWidth="1"/>
    <col min="2" max="3" width="11.42578125" customWidth="1"/>
    <col min="4" max="4" width="18.140625" customWidth="1"/>
  </cols>
  <sheetData>
    <row r="1" spans="1:20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0.25" customHeight="1" x14ac:dyDescent="0.25">
      <c r="A3" s="28" t="s">
        <v>58</v>
      </c>
      <c r="B3" s="28" t="s">
        <v>67</v>
      </c>
      <c r="C3" s="28" t="s">
        <v>70</v>
      </c>
      <c r="D3" s="28" t="s">
        <v>71</v>
      </c>
    </row>
    <row r="4" spans="1:20" x14ac:dyDescent="0.25">
      <c r="A4" s="5" t="s">
        <v>59</v>
      </c>
      <c r="B4" s="31" t="s">
        <v>69</v>
      </c>
      <c r="C4" s="19">
        <v>10</v>
      </c>
      <c r="D4" s="4" t="s">
        <v>107</v>
      </c>
    </row>
    <row r="5" spans="1:20" x14ac:dyDescent="0.25">
      <c r="A5" s="5" t="s">
        <v>60</v>
      </c>
      <c r="B5" s="31" t="s">
        <v>68</v>
      </c>
      <c r="C5" s="19">
        <v>10</v>
      </c>
      <c r="D5" s="4" t="s">
        <v>107</v>
      </c>
    </row>
    <row r="6" spans="1:20" x14ac:dyDescent="0.25">
      <c r="A6" s="5" t="s">
        <v>61</v>
      </c>
      <c r="B6" s="31" t="s">
        <v>69</v>
      </c>
      <c r="C6" s="19">
        <v>10</v>
      </c>
      <c r="D6" s="4" t="s">
        <v>108</v>
      </c>
    </row>
    <row r="7" spans="1:20" x14ac:dyDescent="0.25">
      <c r="A7" s="5" t="s">
        <v>62</v>
      </c>
      <c r="B7" s="31" t="s">
        <v>68</v>
      </c>
      <c r="C7" s="19">
        <v>10</v>
      </c>
      <c r="D7" s="4" t="s">
        <v>107</v>
      </c>
    </row>
    <row r="8" spans="1:20" x14ac:dyDescent="0.25">
      <c r="A8" s="5" t="s">
        <v>63</v>
      </c>
      <c r="B8" s="31" t="s">
        <v>69</v>
      </c>
      <c r="C8" s="19">
        <v>10</v>
      </c>
      <c r="D8" s="4" t="s">
        <v>108</v>
      </c>
    </row>
    <row r="9" spans="1:20" x14ac:dyDescent="0.25">
      <c r="A9" s="5" t="s">
        <v>64</v>
      </c>
      <c r="B9" s="31" t="s">
        <v>68</v>
      </c>
      <c r="C9" s="19">
        <v>10</v>
      </c>
      <c r="D9" s="4" t="s">
        <v>108</v>
      </c>
    </row>
    <row r="10" spans="1:20" x14ac:dyDescent="0.25">
      <c r="A10" s="5" t="s">
        <v>65</v>
      </c>
      <c r="B10" s="31" t="s">
        <v>69</v>
      </c>
      <c r="C10" s="19">
        <v>10</v>
      </c>
      <c r="D10" s="4" t="s">
        <v>107</v>
      </c>
    </row>
    <row r="11" spans="1:20" x14ac:dyDescent="0.25">
      <c r="A11" s="5" t="s">
        <v>66</v>
      </c>
      <c r="B11" s="31" t="s">
        <v>68</v>
      </c>
      <c r="C11" s="19">
        <v>10</v>
      </c>
      <c r="D11" s="4" t="s">
        <v>107</v>
      </c>
    </row>
  </sheetData>
  <sheetProtection sheet="1" objects="1" scenarios="1"/>
  <conditionalFormatting sqref="D4:D11">
    <cfRule type="cellIs" dxfId="3" priority="1" operator="equal">
      <formula>"Not available"</formula>
    </cfRule>
    <cfRule type="cellIs" dxfId="2" priority="2" operator="equal">
      <formula>"Available"</formula>
    </cfRule>
    <cfRule type="cellIs" dxfId="1" priority="3" operator="equal">
      <formula>"Occupied"</formula>
    </cfRule>
    <cfRule type="cellIs" dxfId="0" priority="4" operator="equal">
      <formula>"Free"</formula>
    </cfRule>
  </conditionalFormatting>
  <dataValidations count="2">
    <dataValidation type="list" allowBlank="1" showInputMessage="1" showErrorMessage="1" errorTitle="Invalid Input" error="Only twin and double rooms are available." sqref="B4:B11">
      <formula1>"Twin,Double"</formula1>
    </dataValidation>
    <dataValidation allowBlank="1" showInputMessage="1" showErrorMessage="1" errorTitle="Invalid Input" error="Rooms must be free or occupied." sqref="D4:D11"/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T30"/>
  <sheetViews>
    <sheetView windowProtection="1" tabSelected="1" workbookViewId="0">
      <selection activeCell="D24" sqref="D24"/>
    </sheetView>
  </sheetViews>
  <sheetFormatPr defaultRowHeight="15" x14ac:dyDescent="0.25"/>
  <cols>
    <col min="1" max="1" width="22.5703125" bestFit="1" customWidth="1"/>
    <col min="2" max="2" width="15.7109375" customWidth="1"/>
    <col min="3" max="3" width="24" customWidth="1"/>
    <col min="4" max="4" width="24.85546875" customWidth="1"/>
    <col min="5" max="5" width="26.42578125" customWidth="1"/>
    <col min="6" max="6" width="21.28515625" customWidth="1"/>
    <col min="7" max="7" width="16.140625" customWidth="1"/>
    <col min="8" max="8" width="19.42578125" bestFit="1" customWidth="1"/>
    <col min="9" max="9" width="17.5703125" customWidth="1"/>
    <col min="11" max="11" width="18.140625" bestFit="1" customWidth="1"/>
    <col min="12" max="12" width="12.28515625" customWidth="1"/>
  </cols>
  <sheetData>
    <row r="1" spans="1:20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25">
      <c r="A3" s="42" t="s">
        <v>113</v>
      </c>
      <c r="B3" s="43"/>
      <c r="C3" s="46"/>
      <c r="D3" s="42" t="s">
        <v>126</v>
      </c>
      <c r="E3" s="43"/>
      <c r="F3" s="41" t="s">
        <v>127</v>
      </c>
      <c r="G3" s="41"/>
      <c r="H3" s="41" t="s">
        <v>131</v>
      </c>
      <c r="I3" s="41"/>
    </row>
    <row r="4" spans="1:20" x14ac:dyDescent="0.25">
      <c r="A4" s="4" t="s">
        <v>114</v>
      </c>
      <c r="B4" s="4">
        <v>2</v>
      </c>
      <c r="C4" s="4"/>
      <c r="D4" s="4" t="s">
        <v>130</v>
      </c>
      <c r="E4" s="40">
        <v>1.5</v>
      </c>
      <c r="F4" s="4" t="s">
        <v>130</v>
      </c>
      <c r="G4" s="40">
        <v>5</v>
      </c>
      <c r="H4" s="4" t="s">
        <v>130</v>
      </c>
      <c r="I4" s="40">
        <v>6.5</v>
      </c>
    </row>
    <row r="5" spans="1:20" x14ac:dyDescent="0.25">
      <c r="A5" s="4" t="s">
        <v>115</v>
      </c>
      <c r="B5" s="38">
        <v>6.19</v>
      </c>
      <c r="C5" s="38"/>
      <c r="D5" s="4" t="s">
        <v>128</v>
      </c>
      <c r="E5" s="4">
        <f>COUNTIF('Bookings Information'!V4:V11,"Breakfast")</f>
        <v>2</v>
      </c>
      <c r="F5" s="4" t="s">
        <v>129</v>
      </c>
      <c r="G5" s="4">
        <f>COUNTIF('Bookings Information'!V4:V11,"Lunch")</f>
        <v>2</v>
      </c>
      <c r="H5" s="4" t="s">
        <v>132</v>
      </c>
      <c r="I5" s="4">
        <f>COUNTIF('Bookings Information'!V4:V11,"Evening")</f>
        <v>2</v>
      </c>
    </row>
    <row r="6" spans="1:20" x14ac:dyDescent="0.25">
      <c r="A6" s="4" t="s">
        <v>116</v>
      </c>
      <c r="B6" s="39">
        <v>21</v>
      </c>
      <c r="C6" s="39"/>
      <c r="D6" s="4" t="s">
        <v>111</v>
      </c>
      <c r="E6" s="32">
        <f>E5*E4</f>
        <v>3</v>
      </c>
      <c r="F6" s="4" t="s">
        <v>111</v>
      </c>
      <c r="G6" s="32">
        <f>G5*G4</f>
        <v>10</v>
      </c>
      <c r="H6" s="4" t="s">
        <v>111</v>
      </c>
      <c r="I6" s="32">
        <f>I5*I4</f>
        <v>13</v>
      </c>
    </row>
    <row r="7" spans="1:20" x14ac:dyDescent="0.25">
      <c r="A7" s="44" t="s">
        <v>117</v>
      </c>
      <c r="B7" s="45">
        <v>3</v>
      </c>
      <c r="C7" s="47"/>
    </row>
    <row r="8" spans="1:20" x14ac:dyDescent="0.25">
      <c r="A8" s="4"/>
      <c r="B8" s="6"/>
      <c r="C8" s="14"/>
      <c r="E8" s="16"/>
      <c r="F8" s="29"/>
    </row>
    <row r="9" spans="1:20" x14ac:dyDescent="0.25">
      <c r="A9" s="4"/>
      <c r="B9" s="6"/>
      <c r="C9" s="14"/>
    </row>
    <row r="10" spans="1:20" x14ac:dyDescent="0.25">
      <c r="E10" s="16"/>
      <c r="F10" s="29"/>
    </row>
    <row r="11" spans="1:20" x14ac:dyDescent="0.25">
      <c r="E11" s="16"/>
      <c r="F11" s="16"/>
    </row>
    <row r="12" spans="1:20" x14ac:dyDescent="0.25">
      <c r="E12" s="16"/>
      <c r="F12" s="16"/>
    </row>
    <row r="13" spans="1:20" x14ac:dyDescent="0.25">
      <c r="E13" s="16"/>
      <c r="F13" s="16"/>
    </row>
    <row r="14" spans="1:20" x14ac:dyDescent="0.25">
      <c r="E14" s="16"/>
      <c r="F14" s="16"/>
    </row>
    <row r="18" spans="1:5" x14ac:dyDescent="0.25">
      <c r="A18" s="33" t="s">
        <v>145</v>
      </c>
      <c r="B18" s="33" t="s">
        <v>146</v>
      </c>
      <c r="C18" s="33" t="s">
        <v>149</v>
      </c>
      <c r="D18" s="33" t="s">
        <v>148</v>
      </c>
      <c r="E18" s="33" t="s">
        <v>147</v>
      </c>
    </row>
    <row r="19" spans="1:5" x14ac:dyDescent="0.25">
      <c r="A19" s="4" t="s">
        <v>133</v>
      </c>
      <c r="B19" s="7">
        <v>31</v>
      </c>
      <c r="C19" s="7">
        <f>(B5*B6)*2</f>
        <v>259.98</v>
      </c>
      <c r="D19" s="48">
        <f>(B6/7)*B5</f>
        <v>18.57</v>
      </c>
      <c r="E19" s="6">
        <f>($B$7*B19)*2</f>
        <v>186</v>
      </c>
    </row>
    <row r="20" spans="1:5" x14ac:dyDescent="0.25">
      <c r="A20" s="4" t="s">
        <v>134</v>
      </c>
      <c r="B20" s="7">
        <v>28</v>
      </c>
      <c r="C20" s="7">
        <f t="shared" ref="C20:C30" si="0">(B6*B7)*2</f>
        <v>126</v>
      </c>
      <c r="D20" s="48">
        <f t="shared" ref="D20:D30" si="1">(B7/7)*B6</f>
        <v>9</v>
      </c>
      <c r="E20" s="6">
        <f>($B$7*B20)*2</f>
        <v>168</v>
      </c>
    </row>
    <row r="21" spans="1:5" x14ac:dyDescent="0.25">
      <c r="A21" s="4" t="s">
        <v>135</v>
      </c>
      <c r="B21" s="7">
        <v>31</v>
      </c>
      <c r="C21" s="7">
        <f t="shared" si="0"/>
        <v>0</v>
      </c>
      <c r="D21" s="48">
        <f t="shared" si="1"/>
        <v>0</v>
      </c>
      <c r="E21" s="6">
        <f>($B$7*B21)*2</f>
        <v>186</v>
      </c>
    </row>
    <row r="22" spans="1:5" x14ac:dyDescent="0.25">
      <c r="A22" s="4" t="s">
        <v>136</v>
      </c>
      <c r="B22" s="7">
        <v>30</v>
      </c>
      <c r="C22" s="7">
        <f t="shared" si="0"/>
        <v>0</v>
      </c>
      <c r="D22" s="48">
        <f t="shared" si="1"/>
        <v>0</v>
      </c>
      <c r="E22" s="6">
        <f>($B$7*B22)*2</f>
        <v>180</v>
      </c>
    </row>
    <row r="23" spans="1:5" x14ac:dyDescent="0.25">
      <c r="A23" s="4" t="s">
        <v>137</v>
      </c>
      <c r="B23" s="7">
        <v>31</v>
      </c>
      <c r="C23" s="7">
        <f t="shared" si="0"/>
        <v>0</v>
      </c>
      <c r="D23" s="48">
        <f t="shared" si="1"/>
        <v>0</v>
      </c>
      <c r="E23" s="6">
        <f>($B$7*B23)*2</f>
        <v>186</v>
      </c>
    </row>
    <row r="24" spans="1:5" x14ac:dyDescent="0.25">
      <c r="A24" s="4" t="s">
        <v>138</v>
      </c>
      <c r="B24" s="7">
        <v>30</v>
      </c>
      <c r="C24" s="7">
        <f t="shared" si="0"/>
        <v>0</v>
      </c>
      <c r="D24" s="48">
        <f t="shared" si="1"/>
        <v>0</v>
      </c>
      <c r="E24" s="6">
        <f>($B$7*B24)*2</f>
        <v>180</v>
      </c>
    </row>
    <row r="25" spans="1:5" x14ac:dyDescent="0.25">
      <c r="A25" s="4" t="s">
        <v>139</v>
      </c>
      <c r="B25" s="7">
        <v>31</v>
      </c>
      <c r="C25" s="7">
        <f t="shared" si="0"/>
        <v>0</v>
      </c>
      <c r="D25" s="48">
        <f t="shared" si="1"/>
        <v>0</v>
      </c>
      <c r="E25" s="6">
        <f>($B$7*B25)*2</f>
        <v>186</v>
      </c>
    </row>
    <row r="26" spans="1:5" x14ac:dyDescent="0.25">
      <c r="A26" s="4" t="s">
        <v>140</v>
      </c>
      <c r="B26" s="7">
        <v>31</v>
      </c>
      <c r="C26" s="7">
        <f t="shared" si="0"/>
        <v>0</v>
      </c>
      <c r="D26" s="48">
        <f t="shared" si="1"/>
        <v>0</v>
      </c>
      <c r="E26" s="6">
        <f>($B$7*B26)*2</f>
        <v>186</v>
      </c>
    </row>
    <row r="27" spans="1:5" x14ac:dyDescent="0.25">
      <c r="A27" s="4" t="s">
        <v>141</v>
      </c>
      <c r="B27" s="7">
        <v>30</v>
      </c>
      <c r="C27" s="7">
        <f t="shared" si="0"/>
        <v>0</v>
      </c>
      <c r="D27" s="48">
        <f t="shared" si="1"/>
        <v>0</v>
      </c>
      <c r="E27" s="6">
        <f>($B$7*B27)*2</f>
        <v>180</v>
      </c>
    </row>
    <row r="28" spans="1:5" x14ac:dyDescent="0.25">
      <c r="A28" s="4" t="s">
        <v>142</v>
      </c>
      <c r="B28" s="7">
        <v>31</v>
      </c>
      <c r="C28" s="7">
        <f t="shared" si="0"/>
        <v>0</v>
      </c>
      <c r="D28" s="48">
        <f t="shared" si="1"/>
        <v>0</v>
      </c>
      <c r="E28" s="6">
        <f>($B$7*B28)*2</f>
        <v>186</v>
      </c>
    </row>
    <row r="29" spans="1:5" x14ac:dyDescent="0.25">
      <c r="A29" s="4" t="s">
        <v>143</v>
      </c>
      <c r="B29" s="7">
        <v>30</v>
      </c>
      <c r="C29" s="7">
        <f t="shared" si="0"/>
        <v>0</v>
      </c>
      <c r="D29" s="48">
        <f t="shared" si="1"/>
        <v>0</v>
      </c>
      <c r="E29" s="6">
        <f>($B$7*B29)*2</f>
        <v>180</v>
      </c>
    </row>
    <row r="30" spans="1:5" x14ac:dyDescent="0.25">
      <c r="A30" s="4" t="s">
        <v>144</v>
      </c>
      <c r="B30" s="7">
        <v>31</v>
      </c>
      <c r="C30" s="7">
        <f t="shared" si="0"/>
        <v>0</v>
      </c>
      <c r="D30" s="48">
        <f t="shared" si="1"/>
        <v>0</v>
      </c>
      <c r="E30" s="6">
        <f>($B$7*B30)*2</f>
        <v>186</v>
      </c>
    </row>
  </sheetData>
  <mergeCells count="4">
    <mergeCell ref="F3:G3"/>
    <mergeCell ref="H3:I3"/>
    <mergeCell ref="A3:B3"/>
    <mergeCell ref="D3:E3"/>
  </mergeCells>
  <dataValidations count="3">
    <dataValidation type="whole" allowBlank="1" showInputMessage="1" showErrorMessage="1" errorTitle="Invalid Input" error="You must enter a number for this cell." sqref="G4">
      <formula1>1</formula1>
      <formula2>99999999999999</formula2>
    </dataValidation>
    <dataValidation type="decimal" allowBlank="1" showInputMessage="1" showErrorMessage="1" errorTitle="Invalid input" error="You must enter a number for this cell." sqref="E4">
      <formula1>1</formula1>
      <formula2>9999999999</formula2>
    </dataValidation>
    <dataValidation type="decimal" showInputMessage="1" showErrorMessage="1" errorTitle="Invalid input" error="You must enter a number for this cell." sqref="B4:C7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39997558519241921"/>
  </sheetPr>
  <dimension ref="A1:U25"/>
  <sheetViews>
    <sheetView windowProtection="1" workbookViewId="0">
      <selection activeCell="F27" sqref="F27"/>
    </sheetView>
  </sheetViews>
  <sheetFormatPr defaultRowHeight="15" x14ac:dyDescent="0.25"/>
  <cols>
    <col min="1" max="1" width="15.5703125" customWidth="1"/>
    <col min="2" max="2" width="11.85546875" customWidth="1"/>
    <col min="3" max="3" width="19" bestFit="1" customWidth="1"/>
    <col min="4" max="4" width="18.5703125" customWidth="1"/>
    <col min="5" max="5" width="16" bestFit="1" customWidth="1"/>
    <col min="6" max="6" width="14.140625" customWidth="1"/>
    <col min="7" max="7" width="16.140625" customWidth="1"/>
    <col min="8" max="8" width="16.5703125" customWidth="1"/>
    <col min="9" max="9" width="16.42578125" customWidth="1"/>
    <col min="10" max="10" width="11.28515625" customWidth="1"/>
    <col min="11" max="11" width="11" bestFit="1" customWidth="1"/>
    <col min="12" max="12" width="20.140625" customWidth="1"/>
    <col min="13" max="13" width="18.5703125" customWidth="1"/>
    <col min="14" max="14" width="17.42578125" bestFit="1" customWidth="1"/>
    <col min="15" max="15" width="13.42578125" customWidth="1"/>
    <col min="17" max="19" width="11.5703125" customWidth="1"/>
    <col min="20" max="20" width="10.7109375" bestFit="1" customWidth="1"/>
  </cols>
  <sheetData>
    <row r="1" spans="1:21" ht="15" customHeight="1" x14ac:dyDescent="0.25">
      <c r="A1" s="20" t="str">
        <f>'Bookings Information'!A3</f>
        <v>Booking ID</v>
      </c>
      <c r="B1" s="20" t="str">
        <f>'Bookings Information'!C3</f>
        <v>Title</v>
      </c>
      <c r="C1" s="20" t="str">
        <f>'Bookings Information'!D3</f>
        <v>First Name</v>
      </c>
      <c r="D1" s="20" t="str">
        <f>'Bookings Information'!E3</f>
        <v>Second Name</v>
      </c>
      <c r="E1" s="20" t="str">
        <f>'Bookings Information'!H3</f>
        <v>Address Line 1</v>
      </c>
      <c r="F1" s="20" t="str">
        <f>'Bookings Information'!I3</f>
        <v>Address Line 2</v>
      </c>
      <c r="G1" s="20" t="str">
        <f>'Bookings Information'!J3</f>
        <v>Address Line 3</v>
      </c>
      <c r="H1" s="20" t="str">
        <f>'Bookings Information'!K3</f>
        <v>Address Line 4</v>
      </c>
      <c r="I1" s="20" t="str">
        <f>'Bookings Information'!L3</f>
        <v>Address Line 5</v>
      </c>
      <c r="J1" s="20" t="str">
        <f>'Room Information'!B3</f>
        <v>Room Type</v>
      </c>
      <c r="K1" s="7" t="str">
        <f>'Room Information'!C3</f>
        <v>Room Price</v>
      </c>
      <c r="L1" s="20" t="s">
        <v>73</v>
      </c>
      <c r="M1" s="20" t="s">
        <v>74</v>
      </c>
      <c r="N1" s="20" t="s">
        <v>89</v>
      </c>
      <c r="O1" s="20" t="s">
        <v>90</v>
      </c>
      <c r="P1" s="20" t="s">
        <v>92</v>
      </c>
      <c r="Q1" s="20" t="s">
        <v>93</v>
      </c>
      <c r="R1" s="20" t="s">
        <v>125</v>
      </c>
      <c r="S1" s="20" t="s">
        <v>85</v>
      </c>
      <c r="T1" s="20" t="s">
        <v>94</v>
      </c>
      <c r="U1" s="3"/>
    </row>
    <row r="2" spans="1:21" x14ac:dyDescent="0.25">
      <c r="A2" s="20" t="str">
        <f>'Bookings Information'!A4</f>
        <v>BOOK_001</v>
      </c>
      <c r="B2" s="20" t="str">
        <f>'Bookings Information'!C4</f>
        <v>Mrs</v>
      </c>
      <c r="C2" s="20" t="str">
        <f>'Bookings Information'!D4</f>
        <v>Paulina</v>
      </c>
      <c r="D2" s="20" t="str">
        <f>'Bookings Information'!E4</f>
        <v>Jebb</v>
      </c>
      <c r="E2" s="20" t="str">
        <f>'Bookings Information'!H4</f>
        <v>97 Salmon Street</v>
      </c>
      <c r="F2" s="20" t="str">
        <f>'Bookings Information'!I4</f>
        <v>Cheshire</v>
      </c>
      <c r="G2" s="20" t="str">
        <f>'Bookings Information'!J4</f>
        <v>Ingoo Plaza</v>
      </c>
      <c r="H2" s="20" t="str">
        <f>'Bookings Information'!K4</f>
        <v>England</v>
      </c>
      <c r="I2" s="20" t="str">
        <f>'Bookings Information'!L4</f>
        <v>SY7 8EE</v>
      </c>
      <c r="J2" s="20" t="str">
        <f>'Room Information'!B4</f>
        <v>Twin</v>
      </c>
      <c r="K2" s="24">
        <f>'Room Information'!C4</f>
        <v>10</v>
      </c>
      <c r="L2" s="22">
        <f>'Bookings Information'!S4</f>
        <v>41596</v>
      </c>
      <c r="M2" s="22">
        <f>'Bookings Information'!T4</f>
        <v>41603</v>
      </c>
      <c r="N2" s="20" t="str">
        <f>CONCATENATE('Bookings Information'!C4," ",'Bookings Information'!D4," ",'Bookings Information'!E4)</f>
        <v>Mrs Paulina Jebb</v>
      </c>
      <c r="O2" s="21" t="str">
        <f>'Bookings Information'!Y4</f>
        <v>£3.00</v>
      </c>
      <c r="P2" s="21" t="str">
        <f>'Bookings Information'!AA4</f>
        <v>£3.00</v>
      </c>
      <c r="Q2" s="21" t="str">
        <f>'Bookings Information'!AC4</f>
        <v>£1.50</v>
      </c>
      <c r="R2" s="21" t="str">
        <f>'Bookings Information'!W4</f>
        <v>£6.50</v>
      </c>
      <c r="S2" s="21">
        <f>'Bookings Information'!AE4</f>
        <v>84</v>
      </c>
      <c r="T2" s="23">
        <f ca="1">TODAY()</f>
        <v>41534</v>
      </c>
      <c r="U2" s="3"/>
    </row>
    <row r="3" spans="1:21" x14ac:dyDescent="0.25">
      <c r="A3" s="20" t="str">
        <f>'Bookings Information'!A5</f>
        <v>BOOK_002</v>
      </c>
      <c r="B3" s="20" t="str">
        <f>'Bookings Information'!C5</f>
        <v>Mrs</v>
      </c>
      <c r="C3" s="20" t="str">
        <f>'Bookings Information'!D5</f>
        <v>Paulina</v>
      </c>
      <c r="D3" s="20" t="str">
        <f>'Bookings Information'!E5</f>
        <v>Jebb</v>
      </c>
      <c r="E3" s="20" t="str">
        <f>'Bookings Information'!H5</f>
        <v>97 Salmon Street</v>
      </c>
      <c r="F3" s="20" t="str">
        <f>'Bookings Information'!I5</f>
        <v>Cheshire</v>
      </c>
      <c r="G3" s="20" t="str">
        <f>'Bookings Information'!J5</f>
        <v>Ingoo Plaza</v>
      </c>
      <c r="H3" s="20" t="str">
        <f>'Bookings Information'!K5</f>
        <v>England</v>
      </c>
      <c r="I3" s="20" t="str">
        <f>'Bookings Information'!L5</f>
        <v>SY7 8EE</v>
      </c>
      <c r="J3" s="20" t="str">
        <f>'Room Information'!B5</f>
        <v>Double</v>
      </c>
      <c r="K3" s="24">
        <f>'Room Information'!C5</f>
        <v>10</v>
      </c>
      <c r="L3" s="22">
        <f>'Bookings Information'!S5</f>
        <v>41491</v>
      </c>
      <c r="M3" s="22">
        <f>'Bookings Information'!T5</f>
        <v>41492</v>
      </c>
      <c r="N3" s="20" t="str">
        <f>CONCATENATE('Bookings Information'!C5," ",'Bookings Information'!D5," ",'Bookings Information'!E5)</f>
        <v>Mrs Paulina Jebb</v>
      </c>
      <c r="O3" s="21" t="str">
        <f>'Bookings Information'!Y5</f>
        <v>£5.00</v>
      </c>
      <c r="P3" s="21" t="str">
        <f>'Bookings Information'!AA5</f>
        <v>£5.00</v>
      </c>
      <c r="Q3" s="21" t="str">
        <f>'Bookings Information'!AC5</f>
        <v>£1.50</v>
      </c>
      <c r="R3" s="21" t="str">
        <f>'Bookings Information'!W5</f>
        <v>£10.00</v>
      </c>
      <c r="S3" s="21">
        <f>'Bookings Information'!AE5</f>
        <v>31.5</v>
      </c>
      <c r="T3" s="23">
        <f t="shared" ref="T3:T9" ca="1" si="0">TODAY()</f>
        <v>41534</v>
      </c>
    </row>
    <row r="4" spans="1:21" x14ac:dyDescent="0.25">
      <c r="A4" s="20" t="str">
        <f>'Bookings Information'!A6</f>
        <v>BOOK_003</v>
      </c>
      <c r="B4" s="20" t="str">
        <f>'Bookings Information'!C6</f>
        <v>Doctor</v>
      </c>
      <c r="C4" s="20" t="str">
        <f>'Bookings Information'!D6</f>
        <v>Paul</v>
      </c>
      <c r="D4" s="20" t="str">
        <f>'Bookings Information'!E6</f>
        <v>Jacobs</v>
      </c>
      <c r="E4" s="20" t="str">
        <f>'Bookings Information'!H6</f>
        <v>32 Chip Avenue</v>
      </c>
      <c r="F4" s="20" t="str">
        <f>'Bookings Information'!I6</f>
        <v>Birmingham</v>
      </c>
      <c r="G4" s="20" t="str">
        <f>'Bookings Information'!J6</f>
        <v>The Bullring</v>
      </c>
      <c r="H4" s="20" t="str">
        <f>'Bookings Information'!K6</f>
        <v>England</v>
      </c>
      <c r="I4" s="20" t="str">
        <f>'Bookings Information'!L6</f>
        <v>SY7 8EE</v>
      </c>
      <c r="J4" s="20" t="str">
        <f>'Room Information'!B6</f>
        <v>Twin</v>
      </c>
      <c r="K4" s="24">
        <f>'Room Information'!C6</f>
        <v>10</v>
      </c>
      <c r="L4" s="22">
        <f>'Bookings Information'!S6</f>
        <v>41432</v>
      </c>
      <c r="M4" s="22">
        <f>'Bookings Information'!T6</f>
        <v>41463</v>
      </c>
      <c r="N4" s="20" t="str">
        <f>CONCATENATE('Bookings Information'!C6," ",'Bookings Information'!D6," ",'Bookings Information'!E6)</f>
        <v>Doctor Paul Jacobs</v>
      </c>
      <c r="O4" s="21" t="str">
        <f>'Bookings Information'!Y6</f>
        <v>£10.00</v>
      </c>
      <c r="P4" s="21" t="str">
        <f>'Bookings Information'!AA6</f>
        <v>£5.00</v>
      </c>
      <c r="Q4" s="21" t="str">
        <f>'Bookings Information'!AC6</f>
        <v>£3.00</v>
      </c>
      <c r="R4" s="21" t="str">
        <f>'Bookings Information'!W6</f>
        <v>£0.00</v>
      </c>
      <c r="S4" s="21">
        <f>'Bookings Information'!AE6</f>
        <v>328</v>
      </c>
      <c r="T4" s="23">
        <f t="shared" ca="1" si="0"/>
        <v>41534</v>
      </c>
    </row>
    <row r="5" spans="1:21" x14ac:dyDescent="0.25">
      <c r="A5" s="20" t="str">
        <f>'Bookings Information'!A7</f>
        <v>BOOK_004</v>
      </c>
      <c r="B5" s="20" t="str">
        <f>'Bookings Information'!C7</f>
        <v>Lord</v>
      </c>
      <c r="C5" s="20" t="str">
        <f>'Bookings Information'!D7</f>
        <v>Alan</v>
      </c>
      <c r="D5" s="20" t="str">
        <f>'Bookings Information'!E7</f>
        <v>Sugar</v>
      </c>
      <c r="E5" s="20" t="str">
        <f>'Bookings Information'!H7</f>
        <v>12 Youview Lane</v>
      </c>
      <c r="F5" s="20" t="str">
        <f>'Bookings Information'!I7</f>
        <v>London</v>
      </c>
      <c r="G5" s="20" t="str">
        <f>'Bookings Information'!J7</f>
        <v>Hampshire</v>
      </c>
      <c r="H5" s="20" t="str">
        <f>'Bookings Information'!K7</f>
        <v>England</v>
      </c>
      <c r="I5" s="20" t="str">
        <f>'Bookings Information'!L7</f>
        <v>SY7 8EE</v>
      </c>
      <c r="J5" s="20" t="str">
        <f>'Room Information'!B7</f>
        <v>Double</v>
      </c>
      <c r="K5" s="24">
        <f>'Room Information'!C7</f>
        <v>10</v>
      </c>
      <c r="L5" s="22">
        <f>'Bookings Information'!S7</f>
        <v>41634</v>
      </c>
      <c r="M5" s="22">
        <f>'Bookings Information'!T7</f>
        <v>41640</v>
      </c>
      <c r="N5" s="20" t="str">
        <f>CONCATENATE('Bookings Information'!C7," ",'Bookings Information'!D7," ",'Bookings Information'!E7)</f>
        <v>Lord Alan Sugar</v>
      </c>
      <c r="O5" s="21" t="str">
        <f>'Bookings Information'!Y7</f>
        <v>£10.00</v>
      </c>
      <c r="P5" s="21" t="str">
        <f>'Bookings Information'!AA7</f>
        <v>£4.50</v>
      </c>
      <c r="Q5" s="21" t="str">
        <f>'Bookings Information'!AC7</f>
        <v>£10.00</v>
      </c>
      <c r="R5" s="21" t="str">
        <f>'Bookings Information'!W7</f>
        <v>£5.00</v>
      </c>
      <c r="S5" s="21">
        <f>'Bookings Information'!AE7</f>
        <v>89.5</v>
      </c>
      <c r="T5" s="23">
        <f t="shared" ca="1" si="0"/>
        <v>41534</v>
      </c>
    </row>
    <row r="6" spans="1:21" x14ac:dyDescent="0.25">
      <c r="A6" s="20" t="str">
        <f>'Bookings Information'!A8</f>
        <v>BOOK_005</v>
      </c>
      <c r="B6" s="20" t="str">
        <f>'Bookings Information'!C8</f>
        <v>Doctor</v>
      </c>
      <c r="C6" s="20" t="str">
        <f>'Bookings Information'!D8</f>
        <v>Tony</v>
      </c>
      <c r="D6" s="20" t="str">
        <f>'Bookings Information'!E8</f>
        <v>Blair</v>
      </c>
      <c r="E6" s="20" t="str">
        <f>'Bookings Information'!H8</f>
        <v>Hampshire Row</v>
      </c>
      <c r="F6" s="20" t="str">
        <f>'Bookings Information'!I8</f>
        <v>Reading</v>
      </c>
      <c r="G6" s="20" t="str">
        <f>'Bookings Information'!J8</f>
        <v xml:space="preserve"> Train Station</v>
      </c>
      <c r="H6" s="20" t="str">
        <f>'Bookings Information'!K8</f>
        <v>England</v>
      </c>
      <c r="I6" s="20" t="str">
        <f>'Bookings Information'!L8</f>
        <v>SY7 8EE</v>
      </c>
      <c r="J6" s="20" t="str">
        <f>'Room Information'!B8</f>
        <v>Twin</v>
      </c>
      <c r="K6" s="24">
        <f>'Room Information'!C8</f>
        <v>10</v>
      </c>
      <c r="L6" s="22">
        <f>'Bookings Information'!S8</f>
        <v>41363</v>
      </c>
      <c r="M6" s="22">
        <f>'Bookings Information'!T8</f>
        <v>41374</v>
      </c>
      <c r="N6" s="20" t="str">
        <f>CONCATENATE('Bookings Information'!C8," ",'Bookings Information'!D8," ",'Bookings Information'!E8)</f>
        <v>Doctor Tony Blair</v>
      </c>
      <c r="O6" s="21" t="str">
        <f>'Bookings Information'!Y8</f>
        <v>£5.00</v>
      </c>
      <c r="P6" s="21" t="str">
        <f>'Bookings Information'!AA8</f>
        <v>£3.00</v>
      </c>
      <c r="Q6" s="21" t="str">
        <f>'Bookings Information'!AC8</f>
        <v>£10.00</v>
      </c>
      <c r="R6" s="21" t="str">
        <f>'Bookings Information'!W8</f>
        <v>£2.50</v>
      </c>
      <c r="S6" s="21">
        <f>'Bookings Information'!AE8</f>
        <v>130.5</v>
      </c>
      <c r="T6" s="23">
        <f t="shared" ca="1" si="0"/>
        <v>41534</v>
      </c>
    </row>
    <row r="7" spans="1:21" x14ac:dyDescent="0.25">
      <c r="A7" s="20" t="str">
        <f>'Bookings Information'!A9</f>
        <v>BOOK_006</v>
      </c>
      <c r="B7" s="20" t="str">
        <f>'Bookings Information'!C9</f>
        <v>Ms</v>
      </c>
      <c r="C7" s="20" t="str">
        <f>'Bookings Information'!D9</f>
        <v>Samantha</v>
      </c>
      <c r="D7" s="20" t="str">
        <f>'Bookings Information'!E9</f>
        <v>Blair</v>
      </c>
      <c r="E7" s="20" t="str">
        <f>'Bookings Information'!H9</f>
        <v>85 Afghan Lane</v>
      </c>
      <c r="F7" s="20" t="str">
        <f>'Bookings Information'!I9</f>
        <v>London</v>
      </c>
      <c r="G7" s="20" t="str">
        <f>'Bookings Information'!J9</f>
        <v>Hampshire</v>
      </c>
      <c r="H7" s="20" t="str">
        <f>'Bookings Information'!K9</f>
        <v>England</v>
      </c>
      <c r="I7" s="20" t="str">
        <f>'Bookings Information'!L9</f>
        <v>SY7 8EE</v>
      </c>
      <c r="J7" s="20" t="str">
        <f>'Room Information'!B9</f>
        <v>Double</v>
      </c>
      <c r="K7" s="24">
        <f>'Room Information'!C9</f>
        <v>10</v>
      </c>
      <c r="L7" s="22">
        <f>'Bookings Information'!S9</f>
        <v>41435</v>
      </c>
      <c r="M7" s="22">
        <f>'Bookings Information'!T9</f>
        <v>41437</v>
      </c>
      <c r="N7" s="20" t="str">
        <f>CONCATENATE('Bookings Information'!C9," ",'Bookings Information'!D9," ",'Bookings Information'!E9)</f>
        <v>Ms Samantha Blair</v>
      </c>
      <c r="O7" s="21" t="str">
        <f>'Bookings Information'!Y9</f>
        <v>£5.00</v>
      </c>
      <c r="P7" s="21" t="str">
        <f>'Bookings Information'!AA9</f>
        <v>£10.00</v>
      </c>
      <c r="Q7" s="21" t="str">
        <f>'Bookings Information'!AC9</f>
        <v>£3.00</v>
      </c>
      <c r="R7" s="21" t="str">
        <f>'Bookings Information'!W9</f>
        <v>£6.50</v>
      </c>
      <c r="S7" s="21">
        <f>'Bookings Information'!AE9</f>
        <v>44.5</v>
      </c>
      <c r="T7" s="23">
        <f t="shared" ca="1" si="0"/>
        <v>41534</v>
      </c>
    </row>
    <row r="8" spans="1:21" x14ac:dyDescent="0.25">
      <c r="A8" s="20" t="str">
        <f>'Bookings Information'!A10</f>
        <v>BOOK_007</v>
      </c>
      <c r="B8" s="20" t="str">
        <f>'Bookings Information'!C10</f>
        <v>Doctor</v>
      </c>
      <c r="C8" s="20" t="str">
        <f>'Bookings Information'!D10</f>
        <v>Paul</v>
      </c>
      <c r="D8" s="20" t="str">
        <f>'Bookings Information'!E10</f>
        <v>Jacobs</v>
      </c>
      <c r="E8" s="20" t="str">
        <f>'Bookings Information'!H10</f>
        <v>32 Chip Avenue</v>
      </c>
      <c r="F8" s="20" t="str">
        <f>'Bookings Information'!I10</f>
        <v>London</v>
      </c>
      <c r="G8" s="20" t="str">
        <f>'Bookings Information'!J10</f>
        <v>Hampshire</v>
      </c>
      <c r="H8" s="20" t="str">
        <f>'Bookings Information'!K10</f>
        <v>England</v>
      </c>
      <c r="I8" s="20" t="str">
        <f>'Bookings Information'!L10</f>
        <v>SY7 8EE</v>
      </c>
      <c r="J8" s="20" t="str">
        <f>'Room Information'!B10</f>
        <v>Twin</v>
      </c>
      <c r="K8" s="24">
        <f>'Room Information'!C10</f>
        <v>10</v>
      </c>
      <c r="L8" s="22">
        <f>'Bookings Information'!S10</f>
        <v>41441</v>
      </c>
      <c r="M8" s="22">
        <f>'Bookings Information'!T10</f>
        <v>41446</v>
      </c>
      <c r="N8" s="20" t="str">
        <f>CONCATENATE('Bookings Information'!C10," ",'Bookings Information'!D10," ",'Bookings Information'!E10)</f>
        <v>Doctor Paul Jacobs</v>
      </c>
      <c r="O8" s="21" t="str">
        <f>'Bookings Information'!Y10</f>
        <v>£10.00</v>
      </c>
      <c r="P8" s="21" t="str">
        <f>'Bookings Information'!AA10</f>
        <v>£5.00</v>
      </c>
      <c r="Q8" s="21" t="str">
        <f>'Bookings Information'!AC10</f>
        <v>£1.50</v>
      </c>
      <c r="R8" s="21" t="str">
        <f>'Bookings Information'!W10</f>
        <v>£5.00</v>
      </c>
      <c r="S8" s="21">
        <f>'Bookings Information'!AE10</f>
        <v>71.5</v>
      </c>
      <c r="T8" s="23">
        <f t="shared" ca="1" si="0"/>
        <v>41534</v>
      </c>
    </row>
    <row r="9" spans="1:21" x14ac:dyDescent="0.25">
      <c r="A9" s="20" t="str">
        <f>'Bookings Information'!A11</f>
        <v>BOOK_008</v>
      </c>
      <c r="B9" s="20" t="str">
        <f>'Bookings Information'!C11</f>
        <v>Mrs</v>
      </c>
      <c r="C9" s="20" t="str">
        <f>'Bookings Information'!D11</f>
        <v>Paulina</v>
      </c>
      <c r="D9" s="20" t="str">
        <f>'Bookings Information'!E11</f>
        <v>Jebb</v>
      </c>
      <c r="E9" s="20" t="str">
        <f>'Bookings Information'!H11</f>
        <v>Hampshire Row</v>
      </c>
      <c r="F9" s="20" t="str">
        <f>'Bookings Information'!I11</f>
        <v>London</v>
      </c>
      <c r="G9" s="20" t="str">
        <f>'Bookings Information'!J11</f>
        <v>Hampshire</v>
      </c>
      <c r="H9" s="20" t="str">
        <f>'Bookings Information'!K11</f>
        <v>England</v>
      </c>
      <c r="I9" s="20" t="str">
        <f>'Bookings Information'!L11</f>
        <v>SY7 8EE</v>
      </c>
      <c r="J9" s="20" t="str">
        <f>'Room Information'!B11</f>
        <v>Double</v>
      </c>
      <c r="K9" s="24">
        <f>'Room Information'!C11</f>
        <v>10</v>
      </c>
      <c r="L9" s="22">
        <f>'Bookings Information'!S11</f>
        <v>41498</v>
      </c>
      <c r="M9" s="22">
        <f>'Bookings Information'!T11</f>
        <v>41500</v>
      </c>
      <c r="N9" s="20" t="str">
        <f>CONCATENATE('Bookings Information'!C11," ",'Bookings Information'!D11," ",'Bookings Information'!E11)</f>
        <v>Mrs Paulina Jebb</v>
      </c>
      <c r="O9" s="21" t="str">
        <f>'Bookings Information'!Y11</f>
        <v>£3.00</v>
      </c>
      <c r="P9" s="21" t="str">
        <f>'Bookings Information'!AA11</f>
        <v>£10.00</v>
      </c>
      <c r="Q9" s="21" t="str">
        <f>'Bookings Information'!AC11</f>
        <v>£10.00</v>
      </c>
      <c r="R9" s="21" t="str">
        <f>'Bookings Information'!W11</f>
        <v>£2.50</v>
      </c>
      <c r="S9" s="21">
        <f>'Bookings Information'!AE11</f>
        <v>45.5</v>
      </c>
      <c r="T9" s="23">
        <f t="shared" ca="1" si="0"/>
        <v>41534</v>
      </c>
    </row>
    <row r="10" spans="1:21" x14ac:dyDescent="0.25">
      <c r="A10" s="12"/>
      <c r="B10" s="12"/>
      <c r="C10" s="12"/>
      <c r="D10" s="11"/>
      <c r="E10" s="11"/>
      <c r="F10" s="11"/>
      <c r="G10" s="11"/>
      <c r="H10" s="11"/>
      <c r="I10" s="11"/>
      <c r="J10" s="12"/>
      <c r="K10" s="9"/>
      <c r="L10" s="9"/>
      <c r="M10" s="9"/>
      <c r="N10" s="9"/>
      <c r="O10" s="9"/>
      <c r="P10" s="17"/>
    </row>
    <row r="11" spans="1:21" x14ac:dyDescent="0.25">
      <c r="A11" s="12"/>
      <c r="B11" s="12"/>
      <c r="C11" s="12"/>
      <c r="D11" s="11"/>
      <c r="E11" s="11"/>
      <c r="F11" s="11"/>
      <c r="G11" s="11"/>
      <c r="H11" s="11"/>
      <c r="I11" s="11"/>
      <c r="J11" s="12"/>
      <c r="K11" s="9"/>
      <c r="L11" s="9"/>
      <c r="M11" s="9"/>
      <c r="N11" s="9"/>
      <c r="O11" s="9"/>
      <c r="P11" s="9"/>
    </row>
    <row r="12" spans="1:21" x14ac:dyDescent="0.25">
      <c r="A12" s="12"/>
      <c r="B12" s="12"/>
      <c r="C12" s="12"/>
      <c r="D12" s="11"/>
      <c r="E12" s="11"/>
      <c r="F12" s="11"/>
      <c r="G12" s="11"/>
      <c r="H12" s="11"/>
      <c r="I12" s="11"/>
      <c r="J12" s="12"/>
      <c r="K12" s="9"/>
      <c r="L12" s="9"/>
      <c r="M12" s="9"/>
      <c r="N12" s="9"/>
      <c r="O12" s="9"/>
      <c r="P12" s="9"/>
    </row>
    <row r="13" spans="1:21" x14ac:dyDescent="0.25">
      <c r="A13" s="12"/>
      <c r="B13" s="12"/>
      <c r="C13" s="12"/>
      <c r="D13" s="11"/>
      <c r="E13" s="11"/>
      <c r="F13" s="11"/>
      <c r="G13" s="11"/>
      <c r="H13" s="11"/>
      <c r="I13" s="11"/>
      <c r="J13" s="12"/>
      <c r="K13" s="9"/>
      <c r="L13" s="9"/>
      <c r="M13" s="9"/>
      <c r="N13" s="9"/>
      <c r="O13" s="9"/>
      <c r="P13" s="9"/>
    </row>
    <row r="14" spans="1:21" x14ac:dyDescent="0.25">
      <c r="A14" s="12"/>
      <c r="B14" s="12"/>
      <c r="C14" s="12"/>
      <c r="D14" s="11"/>
      <c r="E14" s="11"/>
      <c r="F14" s="11"/>
      <c r="G14" s="11"/>
      <c r="H14" s="11"/>
      <c r="I14" s="11"/>
      <c r="J14" s="12"/>
      <c r="K14" s="9"/>
      <c r="L14" s="9"/>
      <c r="M14" s="9"/>
      <c r="N14" s="9"/>
      <c r="O14" s="9"/>
      <c r="P14" s="9"/>
    </row>
    <row r="15" spans="1:21" x14ac:dyDescent="0.25">
      <c r="A15" s="12"/>
      <c r="B15" s="12"/>
      <c r="C15" s="12"/>
      <c r="D15" s="11"/>
      <c r="E15" s="11"/>
      <c r="F15" s="11"/>
      <c r="G15" s="11"/>
      <c r="H15" s="11"/>
      <c r="I15" s="11"/>
      <c r="J15" s="12"/>
      <c r="K15" s="9"/>
      <c r="L15" s="9"/>
      <c r="M15" s="9"/>
      <c r="N15" s="9"/>
      <c r="O15" s="9"/>
      <c r="P15" s="9"/>
    </row>
    <row r="16" spans="1:21" x14ac:dyDescent="0.25">
      <c r="A16" s="12"/>
      <c r="B16" s="12"/>
      <c r="C16" s="12"/>
      <c r="D16" s="11"/>
      <c r="E16" s="11"/>
      <c r="F16" s="11"/>
      <c r="G16" s="11"/>
      <c r="H16" s="11"/>
      <c r="I16" s="11"/>
      <c r="J16" s="12"/>
      <c r="K16" s="9"/>
      <c r="L16" s="9"/>
      <c r="M16" s="9"/>
      <c r="N16" s="9"/>
      <c r="O16" s="9"/>
      <c r="P16" s="9"/>
    </row>
    <row r="17" spans="1:16" x14ac:dyDescent="0.25">
      <c r="A17" s="12"/>
      <c r="B17" s="12"/>
      <c r="C17" s="12"/>
      <c r="D17" s="11"/>
      <c r="E17" s="11"/>
      <c r="F17" s="11"/>
      <c r="G17" s="11"/>
      <c r="H17" s="11"/>
      <c r="I17" s="11"/>
      <c r="J17" s="12"/>
      <c r="K17" s="9"/>
      <c r="L17" s="9"/>
      <c r="M17" s="9"/>
      <c r="N17" s="9"/>
      <c r="O17" s="9"/>
      <c r="P17" s="9"/>
    </row>
    <row r="18" spans="1:16" x14ac:dyDescent="0.25">
      <c r="A18" s="9"/>
      <c r="E18" s="11"/>
      <c r="G18" s="10"/>
    </row>
    <row r="19" spans="1:16" x14ac:dyDescent="0.25">
      <c r="A19" s="9"/>
      <c r="E19" s="11"/>
    </row>
    <row r="20" spans="1:16" x14ac:dyDescent="0.25">
      <c r="A20" s="9"/>
      <c r="E20" s="11"/>
    </row>
    <row r="21" spans="1:16" x14ac:dyDescent="0.25">
      <c r="A21" s="9"/>
      <c r="E21" s="11"/>
    </row>
    <row r="22" spans="1:16" x14ac:dyDescent="0.25">
      <c r="A22" s="9"/>
      <c r="E22" s="11"/>
    </row>
    <row r="23" spans="1:16" x14ac:dyDescent="0.25">
      <c r="A23" s="9"/>
    </row>
    <row r="24" spans="1:16" x14ac:dyDescent="0.25">
      <c r="A24" s="9"/>
    </row>
    <row r="25" spans="1:16" x14ac:dyDescent="0.25">
      <c r="A25" s="9"/>
    </row>
  </sheetData>
  <sheetProtection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Halster B+B</vt:lpstr>
      <vt:lpstr>Customer Information</vt:lpstr>
      <vt:lpstr>Bookings Information</vt:lpstr>
      <vt:lpstr>Room Information</vt:lpstr>
      <vt:lpstr>Expenditure</vt:lpstr>
      <vt:lpstr>Invoice</vt:lpstr>
    </vt:vector>
  </TitlesOfParts>
  <Company>The Priory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Roberts</dc:creator>
  <cp:lastModifiedBy>The Priory School</cp:lastModifiedBy>
  <dcterms:created xsi:type="dcterms:W3CDTF">2013-04-15T11:09:15Z</dcterms:created>
  <dcterms:modified xsi:type="dcterms:W3CDTF">2013-09-17T08:39:37Z</dcterms:modified>
</cp:coreProperties>
</file>